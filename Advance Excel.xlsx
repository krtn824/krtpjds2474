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7470" windowHeight="2700" firstSheet="89" activeTab="96"/>
  </bookViews>
  <sheets>
    <sheet name="Sheet1" sheetId="1" r:id="rId1"/>
    <sheet name="Identifying the least revenue" sheetId="2" r:id="rId2"/>
    <sheet name="Urban Company" sheetId="4" r:id="rId3"/>
    <sheet name="Meta Ad Revenue Analysis" sheetId="5" r:id="rId4"/>
    <sheet name="Subscription Billing Time" sheetId="6" r:id="rId5"/>
    <sheet name="Converting Sales Data" sheetId="7" r:id="rId6"/>
    <sheet name="Vehicle Price Analysis" sheetId="8" r:id="rId7"/>
    <sheet name="Customer Support Tickets" sheetId="9" r:id="rId8"/>
    <sheet name="Calculating Revenue Loss" sheetId="10" r:id="rId9"/>
    <sheet name="Analysis of Ad Campaign" sheetId="11" r:id="rId10"/>
    <sheet name="Tracking In-App Purchases" sheetId="12" r:id="rId11"/>
    <sheet name="Analyzing Customer Purchase (Zo" sheetId="13" r:id="rId12"/>
    <sheet name="Maximizing Ad Revenue (Google)" sheetId="14" r:id="rId13"/>
    <sheet name="Randomly Assigning Discount " sheetId="15" r:id="rId14"/>
    <sheet name="Identifying Income Batch Codes" sheetId="16" r:id="rId15"/>
    <sheet name="Analyzing Client Investment" sheetId="17" r:id="rId16"/>
    <sheet name="Email Normalization " sheetId="18" r:id="rId17"/>
    <sheet name="Loan Disbursement Analysis" sheetId="19" r:id="rId18"/>
    <sheet name="Branch Allocation" sheetId="20" r:id="rId19"/>
    <sheet name="Analyzing Monthly Sales" sheetId="21" r:id="rId20"/>
    <sheet name="Assessing Sales and Advertising" sheetId="22" r:id="rId21"/>
    <sheet name="Analyzing Median Delivery Time " sheetId="23" r:id="rId22"/>
    <sheet name="Calculating Total Cost and Disc" sheetId="24" r:id="rId23"/>
    <sheet name="Analyzing Student Performance " sheetId="25" r:id="rId24"/>
    <sheet name="Tracking Monthly Revenue" sheetId="26" r:id="rId25"/>
    <sheet name="Tracking Delivery Times" sheetId="27" r:id="rId26"/>
    <sheet name="Encoding Course Categories" sheetId="29" r:id="rId27"/>
    <sheet name="Calculating Total Revenue " sheetId="30" r:id="rId28"/>
    <sheet name="Rounding Down Monthly" sheetId="31" r:id="rId29"/>
    <sheet name="Analyzing Volunteer Engagement" sheetId="32" r:id="rId30"/>
    <sheet name="Vehicle Age Classification" sheetId="33" r:id="rId31"/>
    <sheet name="Advanced Inventory Analysis" sheetId="34" r:id="rId32"/>
    <sheet name="Lead Conversion Calculator" sheetId="35" r:id="rId33"/>
    <sheet name="Average Mango Prices" sheetId="36" r:id="rId34"/>
    <sheet name="Analyzing Customer Support Tkt" sheetId="37" r:id="rId35"/>
    <sheet name="Customer Loan Details Analysis" sheetId="28" r:id="rId36"/>
    <sheet name="Targeting Mobile App Users" sheetId="38" r:id="rId37"/>
    <sheet name="Standardizing Seller" sheetId="39" r:id="rId38"/>
    <sheet name="Optimizing Delivery Capacity " sheetId="40" r:id="rId39"/>
    <sheet name="Analyzing Ad Engagement" sheetId="41" r:id="rId40"/>
    <sheet name="Matching Customer Engagement" sheetId="44" r:id="rId41"/>
    <sheet name="Analyzing Cricket Contest Data" sheetId="42" r:id="rId42"/>
    <sheet name="Daily Cash Deposit Analysis" sheetId="45" r:id="rId43"/>
    <sheet name="Ranking Car Models" sheetId="46" r:id="rId44"/>
    <sheet name="Booking Analysis for Oberoi" sheetId="47" r:id="rId45"/>
    <sheet name="Extracting Last Digits of VRN" sheetId="49" r:id="rId46"/>
    <sheet name="Managing API Deployment" sheetId="50" r:id="rId47"/>
    <sheet name="Managing Loan Repayment Dates" sheetId="51" r:id="rId48"/>
    <sheet name="Formatting Customer Names " sheetId="52" r:id="rId49"/>
    <sheet name="Analyzing Property Listing Ages" sheetId="53" r:id="rId50"/>
    <sheet name="Advanced Portfolio Analysis" sheetId="43" r:id="rId51"/>
    <sheet name="Calculating Tiered Discounts" sheetId="54" r:id="rId52"/>
    <sheet name="Analyzing the Relationship" sheetId="55" r:id="rId53"/>
    <sheet name="Analyzing Customer Satisfaction" sheetId="56" r:id="rId54"/>
    <sheet name="Analyzing Daily Transaction" sheetId="57" r:id="rId55"/>
    <sheet name="Retrieving Product Information" sheetId="58" r:id="rId56"/>
    <sheet name="Extracting Movie Genres" sheetId="59" r:id="rId57"/>
    <sheet name="Server Performance Variance " sheetId="60" r:id="rId58"/>
    <sheet name="Average Transaction Value" sheetId="61" r:id="rId59"/>
    <sheet name="Discount Offer Management" sheetId="62" r:id="rId60"/>
    <sheet name="Hourly Flight Booking Analysis" sheetId="63" r:id="rId61"/>
    <sheet name="Identifying Invalid Transaction" sheetId="64" r:id="rId62"/>
    <sheet name="Identifying the Minimum Order V" sheetId="65" r:id="rId63"/>
    <sheet name="Updating Travel Package Codes" sheetId="66" r:id="rId64"/>
    <sheet name="Analyzing Customer Eligibility " sheetId="67" r:id="rId65"/>
    <sheet name="Extract Code and Description" sheetId="68" r:id="rId66"/>
    <sheet name="Analyzing Product Sales and Inv" sheetId="70" r:id="rId67"/>
    <sheet name="Inventory and Sales Analysis" sheetId="69" r:id="rId68"/>
    <sheet name="Analyzing Most Common Product" sheetId="71" r:id="rId69"/>
    <sheet name="Analyzing Sales Data" sheetId="48" r:id="rId70"/>
    <sheet name="Identifying the Lowest Revenue" sheetId="72" r:id="rId71"/>
    <sheet name="Analyzing Student Performance" sheetId="73" r:id="rId72"/>
    <sheet name="Analyzing Customer Reviews" sheetId="74" r:id="rId73"/>
    <sheet name="Analyzing Course Performance" sheetId="75" r:id="rId74"/>
    <sheet name="Cleaning Customer Data" sheetId="77" r:id="rId75"/>
    <sheet name="Analyzing Investment Portfolio " sheetId="76" r:id="rId76"/>
    <sheet name="API Response Time Analysis" sheetId="78" r:id="rId77"/>
    <sheet name="Optimizing Electric Vehicle" sheetId="79" r:id="rId78"/>
    <sheet name="Advanced Sales Performance " sheetId="80" r:id="rId79"/>
    <sheet name="Methods for Splitting Cell Valu" sheetId="81" r:id="rId80"/>
    <sheet name="Methods for Splitting Cell (1)" sheetId="82" r:id="rId81"/>
    <sheet name="Using Basic Logical Functions" sheetId="83" r:id="rId82"/>
    <sheet name=" Convert Dates Stored as Text" sheetId="84" r:id="rId83"/>
    <sheet name="Logical" sheetId="85" r:id="rId84"/>
    <sheet name="NPV" sheetId="87" r:id="rId85"/>
    <sheet name="Lookup Function" sheetId="88" r:id="rId86"/>
    <sheet name="XOR" sheetId="89" r:id="rId87"/>
    <sheet name="Arithmetic plus Logic" sheetId="90" r:id="rId88"/>
    <sheet name="Salary Sheet" sheetId="91" r:id="rId89"/>
    <sheet name="Sales Report" sheetId="92" r:id="rId90"/>
    <sheet name="Sheet2" sheetId="94" r:id="rId91"/>
    <sheet name="Conditional Formatting" sheetId="93" r:id="rId92"/>
    <sheet name="V Lookup" sheetId="95" r:id="rId93"/>
    <sheet name="Excel Practise" sheetId="96" r:id="rId94"/>
    <sheet name="Vlookup Table" sheetId="98" r:id="rId95"/>
    <sheet name="Solution" sheetId="99" r:id="rId96"/>
    <sheet name="Sheet3" sheetId="100" r:id="rId9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100" l="1"/>
  <c r="O4" i="100"/>
  <c r="N4" i="100"/>
  <c r="Q3" i="100"/>
  <c r="P3" i="100"/>
  <c r="O3" i="100"/>
  <c r="I16" i="98"/>
  <c r="I17" i="98"/>
  <c r="I18" i="98"/>
  <c r="I19" i="98"/>
  <c r="I20" i="98"/>
  <c r="I21" i="98"/>
  <c r="I22" i="98"/>
  <c r="I23" i="98"/>
  <c r="I24" i="98"/>
  <c r="I25" i="98"/>
  <c r="I26" i="98"/>
  <c r="I27" i="98"/>
  <c r="I28" i="98"/>
  <c r="I29" i="98"/>
  <c r="I30" i="98"/>
  <c r="I31" i="98"/>
  <c r="I15" i="98"/>
  <c r="R27" i="98"/>
  <c r="R28" i="98"/>
  <c r="P26" i="98"/>
  <c r="R25" i="98"/>
  <c r="Q25" i="98"/>
  <c r="H16" i="98"/>
  <c r="H17" i="98"/>
  <c r="H18" i="98"/>
  <c r="H19" i="98"/>
  <c r="H20" i="98"/>
  <c r="H21" i="98"/>
  <c r="H22" i="98"/>
  <c r="H23" i="98"/>
  <c r="H24" i="98"/>
  <c r="H25" i="98"/>
  <c r="H26" i="98"/>
  <c r="H27" i="98"/>
  <c r="H28" i="98"/>
  <c r="H29" i="98"/>
  <c r="H30" i="98"/>
  <c r="H31" i="98"/>
  <c r="H15" i="98"/>
  <c r="G16" i="98"/>
  <c r="G17" i="98"/>
  <c r="G18" i="98"/>
  <c r="G19" i="98"/>
  <c r="G20" i="98"/>
  <c r="G21" i="98"/>
  <c r="G22" i="98"/>
  <c r="G23" i="98"/>
  <c r="G24" i="98"/>
  <c r="G25" i="98"/>
  <c r="G26" i="98"/>
  <c r="G27" i="98"/>
  <c r="G28" i="98"/>
  <c r="G29" i="98"/>
  <c r="G30" i="98"/>
  <c r="G31" i="98"/>
  <c r="G15" i="98"/>
  <c r="F16" i="98"/>
  <c r="F17" i="98"/>
  <c r="F18" i="98"/>
  <c r="F19" i="98"/>
  <c r="F20" i="98"/>
  <c r="F21" i="98"/>
  <c r="F22" i="98"/>
  <c r="F23" i="98"/>
  <c r="F24" i="98"/>
  <c r="F25" i="98"/>
  <c r="F26" i="98"/>
  <c r="F27" i="98"/>
  <c r="F28" i="98"/>
  <c r="F29" i="98"/>
  <c r="F30" i="98"/>
  <c r="F31" i="98"/>
  <c r="F15" i="98"/>
  <c r="U94" i="96"/>
  <c r="U93" i="96"/>
  <c r="P96" i="96"/>
  <c r="P95" i="96"/>
  <c r="P94" i="96"/>
  <c r="P93" i="96"/>
  <c r="O75" i="96"/>
  <c r="O74" i="96"/>
  <c r="K83" i="96"/>
  <c r="K82" i="96"/>
  <c r="K81" i="96"/>
  <c r="K80" i="96"/>
  <c r="G81" i="96"/>
  <c r="F81" i="96"/>
  <c r="F79" i="96" l="1"/>
  <c r="G68" i="96"/>
  <c r="G69" i="96"/>
  <c r="G70" i="96"/>
  <c r="G71" i="96"/>
  <c r="G72" i="96"/>
  <c r="G73" i="96"/>
  <c r="G74" i="96"/>
  <c r="G75" i="96"/>
  <c r="G76" i="96"/>
  <c r="G67" i="96"/>
  <c r="F68" i="96"/>
  <c r="F69" i="96"/>
  <c r="F70" i="96"/>
  <c r="F71" i="96"/>
  <c r="F72" i="96"/>
  <c r="F73" i="96"/>
  <c r="F74" i="96"/>
  <c r="F75" i="96"/>
  <c r="F76" i="96"/>
  <c r="F67" i="96"/>
  <c r="F80" i="96"/>
  <c r="E80" i="96"/>
  <c r="C78" i="96"/>
  <c r="E68" i="96"/>
  <c r="E69" i="96"/>
  <c r="E70" i="96"/>
  <c r="E71" i="96"/>
  <c r="E72" i="96"/>
  <c r="E73" i="96"/>
  <c r="E74" i="96"/>
  <c r="E75" i="96"/>
  <c r="E76" i="96"/>
  <c r="E67" i="96"/>
  <c r="E3" i="99" l="1"/>
  <c r="E4" i="99"/>
  <c r="E5" i="99"/>
  <c r="E6" i="99"/>
  <c r="E7" i="99"/>
  <c r="E8" i="99"/>
  <c r="E9" i="99"/>
  <c r="E10" i="99"/>
  <c r="E11" i="99"/>
  <c r="E2" i="99"/>
  <c r="D3" i="99"/>
  <c r="D4" i="99"/>
  <c r="D5" i="99"/>
  <c r="D6" i="99"/>
  <c r="D7" i="99"/>
  <c r="D8" i="99"/>
  <c r="D9" i="99"/>
  <c r="D10" i="99"/>
  <c r="D11" i="99"/>
  <c r="D2" i="99"/>
  <c r="C3" i="99"/>
  <c r="C4" i="99"/>
  <c r="C5" i="99"/>
  <c r="C6" i="99"/>
  <c r="C7" i="99"/>
  <c r="C8" i="99"/>
  <c r="C9" i="99"/>
  <c r="C10" i="99"/>
  <c r="C11" i="99"/>
  <c r="C2" i="99"/>
  <c r="B3" i="99"/>
  <c r="B4" i="99"/>
  <c r="B5" i="99"/>
  <c r="B6" i="99"/>
  <c r="B7" i="99"/>
  <c r="B8" i="99"/>
  <c r="B9" i="99"/>
  <c r="B10" i="99"/>
  <c r="B11" i="99"/>
  <c r="B2" i="99"/>
  <c r="R63" i="96"/>
  <c r="R62" i="96"/>
  <c r="S63" i="96"/>
  <c r="S62" i="96"/>
  <c r="S60" i="96"/>
  <c r="S59" i="96"/>
  <c r="S58" i="96"/>
  <c r="S30" i="96"/>
  <c r="S28" i="96"/>
  <c r="S31" i="96"/>
  <c r="S29" i="96"/>
  <c r="M50" i="96"/>
  <c r="M51" i="96"/>
  <c r="M52" i="96"/>
  <c r="M53" i="96"/>
  <c r="M54" i="96"/>
  <c r="M49" i="96"/>
  <c r="O38" i="96"/>
  <c r="O39" i="96"/>
  <c r="O40" i="96"/>
  <c r="O41" i="96"/>
  <c r="O42" i="96"/>
  <c r="O43" i="96"/>
  <c r="O44" i="96"/>
  <c r="O45" i="96"/>
  <c r="O37" i="96"/>
  <c r="G61" i="96"/>
  <c r="F61" i="96"/>
  <c r="D60" i="96"/>
  <c r="H59" i="96"/>
  <c r="I59" i="96"/>
  <c r="J59" i="96"/>
  <c r="H41" i="96"/>
  <c r="H42" i="96"/>
  <c r="H43" i="96"/>
  <c r="H44" i="96"/>
  <c r="H45" i="96"/>
  <c r="H46" i="96"/>
  <c r="H47" i="96"/>
  <c r="H48" i="96"/>
  <c r="H49" i="96"/>
  <c r="H50" i="96"/>
  <c r="H51" i="96"/>
  <c r="H52" i="96"/>
  <c r="H53" i="96"/>
  <c r="H54" i="96"/>
  <c r="H55" i="96"/>
  <c r="H56" i="96"/>
  <c r="H40" i="96"/>
  <c r="H39" i="96"/>
  <c r="H38" i="96"/>
  <c r="H37" i="96"/>
  <c r="G25" i="96"/>
  <c r="G26" i="96"/>
  <c r="G27" i="96"/>
  <c r="G28" i="96"/>
  <c r="G29" i="96"/>
  <c r="G30" i="96"/>
  <c r="G31" i="96"/>
  <c r="G32" i="96"/>
  <c r="G33" i="96"/>
  <c r="G24" i="96"/>
  <c r="F28" i="96"/>
  <c r="F29" i="96"/>
  <c r="F30" i="96"/>
  <c r="F31" i="96"/>
  <c r="F32" i="96"/>
  <c r="F33" i="96"/>
  <c r="F27" i="96"/>
  <c r="F26" i="96"/>
  <c r="F25" i="96"/>
  <c r="F24" i="96"/>
  <c r="N22" i="96"/>
  <c r="N21" i="96" l="1"/>
  <c r="N20" i="96"/>
  <c r="N19" i="96"/>
  <c r="O16" i="96"/>
  <c r="P15" i="96"/>
  <c r="O15" i="96"/>
  <c r="D16" i="96"/>
  <c r="D15" i="96"/>
  <c r="C16" i="96"/>
  <c r="B16" i="96"/>
  <c r="C15" i="96"/>
  <c r="B15" i="96"/>
  <c r="B12" i="96"/>
  <c r="J3" i="96"/>
  <c r="J4" i="96"/>
  <c r="J5" i="96"/>
  <c r="J6" i="96"/>
  <c r="J7" i="96"/>
  <c r="J8" i="96"/>
  <c r="J9" i="96"/>
  <c r="J2" i="96"/>
  <c r="G23" i="95"/>
  <c r="P6" i="95"/>
  <c r="P5" i="95"/>
  <c r="Q6" i="95"/>
  <c r="Q5" i="95"/>
  <c r="Q4" i="95"/>
  <c r="P4" i="95"/>
  <c r="O6" i="95"/>
  <c r="O5" i="95"/>
  <c r="O4" i="95"/>
  <c r="N6" i="95"/>
  <c r="N5" i="95"/>
  <c r="N4" i="95"/>
  <c r="M6" i="95"/>
  <c r="M5" i="95"/>
  <c r="M4" i="95"/>
  <c r="D23" i="95"/>
  <c r="C23" i="95"/>
  <c r="E19" i="95"/>
  <c r="F18" i="95"/>
  <c r="E18" i="95"/>
  <c r="E17" i="95"/>
  <c r="F15" i="94"/>
  <c r="C14" i="94"/>
  <c r="E3" i="94"/>
  <c r="E4" i="94"/>
  <c r="E5" i="94"/>
  <c r="E6" i="94"/>
  <c r="E7" i="94"/>
  <c r="E8" i="94"/>
  <c r="E9" i="94"/>
  <c r="E10" i="94"/>
  <c r="E11" i="94"/>
  <c r="E12" i="94"/>
  <c r="E2" i="94"/>
  <c r="D3" i="94"/>
  <c r="D4" i="94"/>
  <c r="D5" i="94"/>
  <c r="D6" i="94"/>
  <c r="D7" i="94"/>
  <c r="D8" i="94"/>
  <c r="D9" i="94"/>
  <c r="D10" i="94"/>
  <c r="D11" i="94"/>
  <c r="D12" i="94"/>
  <c r="D2" i="94"/>
  <c r="C3" i="94"/>
  <c r="C4" i="94"/>
  <c r="C5" i="94"/>
  <c r="C6" i="94"/>
  <c r="C7" i="94"/>
  <c r="C8" i="94"/>
  <c r="C9" i="94"/>
  <c r="C10" i="94"/>
  <c r="C11" i="94"/>
  <c r="C12" i="94"/>
  <c r="C2" i="94"/>
  <c r="E25" i="93"/>
  <c r="E24" i="93"/>
  <c r="E23" i="93"/>
  <c r="D23" i="93"/>
  <c r="C23" i="93"/>
  <c r="C22" i="93"/>
  <c r="J17" i="92" l="1"/>
  <c r="I17" i="92"/>
  <c r="K15" i="92"/>
  <c r="H14" i="92"/>
  <c r="C16" i="92"/>
  <c r="C15" i="92"/>
  <c r="B16" i="92"/>
  <c r="B15" i="92"/>
  <c r="J3" i="92"/>
  <c r="J4" i="92"/>
  <c r="J5" i="92"/>
  <c r="J6" i="92"/>
  <c r="J7" i="92"/>
  <c r="J8" i="92"/>
  <c r="J9" i="92"/>
  <c r="J10" i="92"/>
  <c r="J11" i="92"/>
  <c r="J12" i="92"/>
  <c r="J2" i="92"/>
  <c r="F19" i="91"/>
  <c r="E19" i="91"/>
  <c r="H3" i="92"/>
  <c r="H4" i="92"/>
  <c r="H5" i="92"/>
  <c r="H6" i="92"/>
  <c r="H7" i="92"/>
  <c r="H8" i="92"/>
  <c r="H9" i="92"/>
  <c r="H10" i="92"/>
  <c r="H11" i="92"/>
  <c r="H12" i="92"/>
  <c r="H2" i="92"/>
  <c r="C17" i="91"/>
  <c r="C16" i="91"/>
  <c r="B17" i="91"/>
  <c r="B16" i="91"/>
  <c r="I9" i="91"/>
  <c r="I3" i="91"/>
  <c r="I4" i="91"/>
  <c r="I5" i="91"/>
  <c r="I6" i="91"/>
  <c r="I7" i="91"/>
  <c r="I8" i="91"/>
  <c r="I2" i="91"/>
  <c r="H4" i="91"/>
  <c r="H5" i="91"/>
  <c r="H6" i="91"/>
  <c r="H7" i="91"/>
  <c r="H8" i="91"/>
  <c r="H9" i="91"/>
  <c r="G4" i="91"/>
  <c r="G5" i="91"/>
  <c r="G6" i="91"/>
  <c r="G7" i="91"/>
  <c r="G8" i="91"/>
  <c r="G9" i="91"/>
  <c r="F4" i="91"/>
  <c r="F5" i="91"/>
  <c r="F6" i="91"/>
  <c r="F7" i="91"/>
  <c r="F8" i="91"/>
  <c r="F9" i="91"/>
  <c r="E5" i="91"/>
  <c r="E6" i="91"/>
  <c r="E7" i="91"/>
  <c r="E8" i="91"/>
  <c r="E9" i="91"/>
  <c r="E4" i="91"/>
  <c r="H3" i="91"/>
  <c r="G3" i="91"/>
  <c r="F3" i="91"/>
  <c r="E3" i="91"/>
  <c r="H2" i="91"/>
  <c r="G2" i="91"/>
  <c r="F2" i="91"/>
  <c r="E2" i="91"/>
  <c r="H39" i="90"/>
  <c r="H38" i="90"/>
  <c r="H37" i="90"/>
  <c r="G39" i="90"/>
  <c r="G38" i="90"/>
  <c r="G37" i="90"/>
  <c r="D39" i="90"/>
  <c r="D38" i="90"/>
  <c r="D37" i="90"/>
  <c r="C39" i="90"/>
  <c r="C38" i="90"/>
  <c r="C37" i="90"/>
  <c r="H24" i="90"/>
  <c r="H25" i="90"/>
  <c r="H26" i="90"/>
  <c r="H27" i="90"/>
  <c r="H28" i="90"/>
  <c r="H29" i="90"/>
  <c r="H30" i="90"/>
  <c r="H31" i="90"/>
  <c r="H23" i="90"/>
  <c r="C34" i="90"/>
  <c r="C33" i="90"/>
  <c r="G24" i="90"/>
  <c r="G25" i="90"/>
  <c r="G26" i="90"/>
  <c r="G27" i="90"/>
  <c r="G28" i="90"/>
  <c r="G29" i="90"/>
  <c r="G30" i="90"/>
  <c r="G31" i="90"/>
  <c r="G23" i="90"/>
  <c r="F24" i="90"/>
  <c r="F25" i="90"/>
  <c r="F26" i="90"/>
  <c r="F27" i="90"/>
  <c r="F28" i="90"/>
  <c r="F29" i="90"/>
  <c r="F30" i="90"/>
  <c r="F31" i="90"/>
  <c r="F23" i="90"/>
  <c r="R16" i="90"/>
  <c r="Q16" i="90"/>
  <c r="P16" i="90"/>
  <c r="O19" i="90"/>
  <c r="O18" i="90"/>
  <c r="R3" i="90"/>
  <c r="R4" i="90"/>
  <c r="R5" i="90"/>
  <c r="R6" i="90"/>
  <c r="R7" i="90"/>
  <c r="R8" i="90"/>
  <c r="R9" i="90"/>
  <c r="R10" i="90"/>
  <c r="R11" i="90"/>
  <c r="R2" i="90"/>
  <c r="N14" i="90"/>
  <c r="Q3" i="90"/>
  <c r="Q4" i="90"/>
  <c r="Q5" i="90"/>
  <c r="Q6" i="90"/>
  <c r="Q7" i="90"/>
  <c r="Q8" i="90"/>
  <c r="Q9" i="90"/>
  <c r="Q10" i="90"/>
  <c r="Q11" i="90"/>
  <c r="Q2" i="90"/>
  <c r="I18" i="90"/>
  <c r="H18" i="90"/>
  <c r="G18" i="90"/>
  <c r="F18" i="90"/>
  <c r="C20" i="90"/>
  <c r="C16" i="90"/>
  <c r="C14" i="90"/>
  <c r="C13" i="90"/>
  <c r="J3" i="90"/>
  <c r="J4" i="90"/>
  <c r="J5" i="90"/>
  <c r="J6" i="90"/>
  <c r="J7" i="90"/>
  <c r="J8" i="90"/>
  <c r="J9" i="90"/>
  <c r="J10" i="90"/>
  <c r="J11" i="90"/>
  <c r="J2" i="90"/>
  <c r="I3" i="90"/>
  <c r="I4" i="90"/>
  <c r="I5" i="90"/>
  <c r="I6" i="90"/>
  <c r="I7" i="90"/>
  <c r="I8" i="90"/>
  <c r="I9" i="90"/>
  <c r="I10" i="90"/>
  <c r="I11" i="90"/>
  <c r="I2" i="90"/>
  <c r="H2" i="90"/>
  <c r="H3" i="90"/>
  <c r="H4" i="90"/>
  <c r="H5" i="90"/>
  <c r="H6" i="90"/>
  <c r="H7" i="90"/>
  <c r="H8" i="90"/>
  <c r="H9" i="90"/>
  <c r="H10" i="90"/>
  <c r="H11" i="90"/>
  <c r="K12" i="88" l="1"/>
  <c r="K11" i="88"/>
  <c r="D3" i="89"/>
  <c r="D4" i="89"/>
  <c r="D5" i="89"/>
  <c r="D6" i="89"/>
  <c r="D7" i="89"/>
  <c r="D8" i="89"/>
  <c r="D9" i="89"/>
  <c r="D10" i="89"/>
  <c r="D2" i="89"/>
  <c r="W6" i="88"/>
  <c r="V6" i="88"/>
  <c r="U6" i="88"/>
  <c r="S6" i="88"/>
  <c r="T6" i="88"/>
  <c r="W5" i="88"/>
  <c r="V5" i="88"/>
  <c r="U5" i="88"/>
  <c r="T5" i="88"/>
  <c r="S5" i="88"/>
  <c r="W4" i="88"/>
  <c r="V4" i="88"/>
  <c r="U4" i="88"/>
  <c r="T4" i="88"/>
  <c r="S4" i="88"/>
  <c r="R6" i="88"/>
  <c r="Q6" i="88"/>
  <c r="P6" i="88"/>
  <c r="O6" i="88"/>
  <c r="N6" i="88"/>
  <c r="M6" i="88"/>
  <c r="L6" i="88"/>
  <c r="K6" i="88"/>
  <c r="J6" i="88"/>
  <c r="I6" i="88"/>
  <c r="H6" i="88"/>
  <c r="R5" i="88"/>
  <c r="Q5" i="88"/>
  <c r="P5" i="88"/>
  <c r="O5" i="88"/>
  <c r="R4" i="88"/>
  <c r="Q4" i="88"/>
  <c r="P4" i="88"/>
  <c r="O4" i="88"/>
  <c r="N5" i="88"/>
  <c r="M5" i="88"/>
  <c r="N4" i="88"/>
  <c r="M4" i="88"/>
  <c r="L5" i="88"/>
  <c r="L4" i="88"/>
  <c r="K5" i="88"/>
  <c r="K4" i="88"/>
  <c r="J5" i="88"/>
  <c r="I5" i="88"/>
  <c r="H5" i="88"/>
  <c r="E5" i="87" l="1"/>
  <c r="I3" i="85"/>
  <c r="I4" i="85"/>
  <c r="I5" i="85"/>
  <c r="I6" i="85"/>
  <c r="I7" i="85"/>
  <c r="I8" i="85"/>
  <c r="I9" i="85"/>
  <c r="I10" i="85"/>
  <c r="I2" i="85"/>
  <c r="H3" i="85"/>
  <c r="H4" i="85"/>
  <c r="H5" i="85"/>
  <c r="H6" i="85"/>
  <c r="H7" i="85"/>
  <c r="H8" i="85"/>
  <c r="H9" i="85"/>
  <c r="H10" i="85"/>
  <c r="H2" i="85"/>
  <c r="G3" i="85"/>
  <c r="G4" i="85"/>
  <c r="G5" i="85"/>
  <c r="G6" i="85"/>
  <c r="G7" i="85"/>
  <c r="G8" i="85"/>
  <c r="G9" i="85"/>
  <c r="G10" i="85"/>
  <c r="G2" i="85"/>
  <c r="E3" i="85"/>
  <c r="E4" i="85"/>
  <c r="E5" i="85"/>
  <c r="E6" i="85"/>
  <c r="E7" i="85"/>
  <c r="E8" i="85"/>
  <c r="E9" i="85"/>
  <c r="E10" i="85"/>
  <c r="E2" i="85"/>
  <c r="D3" i="85"/>
  <c r="D4" i="85"/>
  <c r="D5" i="85"/>
  <c r="D6" i="85"/>
  <c r="D7" i="85"/>
  <c r="D8" i="85"/>
  <c r="D9" i="85"/>
  <c r="D10" i="85"/>
  <c r="D2" i="85"/>
  <c r="F16" i="83"/>
  <c r="E16" i="83"/>
  <c r="D16" i="83"/>
  <c r="C16" i="83"/>
  <c r="B16" i="83"/>
  <c r="E3" i="83"/>
  <c r="E4" i="83"/>
  <c r="E5" i="83"/>
  <c r="E6" i="83"/>
  <c r="E7" i="83"/>
  <c r="E8" i="83"/>
  <c r="E9" i="83"/>
  <c r="E10" i="83"/>
  <c r="E11" i="83"/>
  <c r="E12" i="83"/>
  <c r="E13" i="83"/>
  <c r="E2" i="83"/>
  <c r="H3" i="28" l="1"/>
  <c r="H4" i="28"/>
  <c r="H5" i="28"/>
  <c r="H6" i="28"/>
  <c r="F3" i="28"/>
  <c r="F4" i="28"/>
  <c r="F5" i="28"/>
  <c r="F6" i="28"/>
  <c r="F2" i="28"/>
  <c r="H2" i="28" s="1"/>
  <c r="E3" i="28"/>
  <c r="E4" i="28"/>
  <c r="E5" i="28"/>
  <c r="E6" i="28"/>
  <c r="E2" i="28"/>
  <c r="D4" i="28"/>
  <c r="D5" i="28"/>
  <c r="D6" i="28"/>
  <c r="D3" i="28"/>
  <c r="D2" i="28"/>
  <c r="C5" i="28"/>
  <c r="C6" i="28"/>
  <c r="C4" i="28"/>
  <c r="C3" i="28"/>
  <c r="C2" i="28"/>
  <c r="F12" i="35"/>
  <c r="F11" i="35"/>
  <c r="F10" i="35"/>
  <c r="E6" i="37"/>
  <c r="E5" i="37"/>
  <c r="E4" i="37"/>
  <c r="E3" i="37"/>
  <c r="E2" i="37"/>
  <c r="B4" i="68"/>
  <c r="E14" i="80"/>
  <c r="D14" i="80"/>
  <c r="B16" i="80"/>
  <c r="B15" i="80"/>
  <c r="B13" i="80"/>
  <c r="F2" i="37" l="1"/>
  <c r="G3" i="79"/>
  <c r="G4" i="79"/>
  <c r="G5" i="79"/>
  <c r="G6" i="79"/>
  <c r="G2" i="79"/>
  <c r="F3" i="79"/>
  <c r="F6" i="79"/>
  <c r="F5" i="79"/>
  <c r="F4" i="79"/>
  <c r="F2" i="79"/>
  <c r="H2" i="78"/>
  <c r="H3" i="78"/>
  <c r="H4" i="78"/>
  <c r="H5" i="78"/>
  <c r="H6" i="78"/>
  <c r="G3" i="78"/>
  <c r="G4" i="78"/>
  <c r="G5" i="78"/>
  <c r="G6" i="78"/>
  <c r="G2" i="78"/>
  <c r="B15" i="76" l="1"/>
  <c r="B13" i="76"/>
  <c r="B14" i="76"/>
  <c r="D29" i="75"/>
  <c r="D30" i="75"/>
  <c r="D31" i="75"/>
  <c r="D32" i="75"/>
  <c r="D28" i="75"/>
  <c r="C29" i="75"/>
  <c r="C30" i="75"/>
  <c r="C31" i="75"/>
  <c r="C32" i="75"/>
  <c r="C28" i="75"/>
  <c r="E29" i="75"/>
  <c r="E30" i="75"/>
  <c r="E31" i="75"/>
  <c r="E32" i="75"/>
  <c r="E28" i="75"/>
  <c r="B30" i="75"/>
  <c r="B31" i="75"/>
  <c r="B32" i="75"/>
  <c r="B29" i="75"/>
  <c r="B28" i="75"/>
  <c r="C9" i="48"/>
  <c r="F21" i="69"/>
  <c r="E4" i="74"/>
  <c r="E5" i="74"/>
  <c r="E6" i="74"/>
  <c r="E3" i="74"/>
  <c r="E2" i="74"/>
  <c r="B25" i="73"/>
  <c r="B24" i="73"/>
  <c r="B23" i="73"/>
  <c r="F20" i="69"/>
  <c r="B13" i="71"/>
  <c r="I5" i="71"/>
  <c r="I4" i="71"/>
  <c r="B8" i="72"/>
  <c r="D3" i="7" l="1"/>
  <c r="D4" i="7"/>
  <c r="D5" i="7"/>
  <c r="D6" i="7"/>
  <c r="B4" i="18"/>
  <c r="B5" i="18"/>
  <c r="B6" i="18"/>
  <c r="B3" i="18"/>
  <c r="E17" i="17" a="1"/>
  <c r="E17" i="17" s="1"/>
  <c r="E15" i="17" a="1"/>
  <c r="E15" i="17" s="1"/>
  <c r="E16" i="17" a="1"/>
  <c r="E16" i="17"/>
  <c r="D17" i="17" a="1"/>
  <c r="D17" i="17" s="1"/>
  <c r="D16" i="17" a="1"/>
  <c r="D16" i="17" s="1"/>
  <c r="C17" i="17" a="1"/>
  <c r="C17" i="17" s="1"/>
  <c r="C16" i="17" a="1"/>
  <c r="C16" i="17" s="1"/>
  <c r="D3" i="15"/>
  <c r="E3" i="15" s="1"/>
  <c r="D4" i="15"/>
  <c r="E4" i="15" s="1"/>
  <c r="D5" i="15"/>
  <c r="E5" i="15" s="1"/>
  <c r="D6" i="15"/>
  <c r="E6" i="15" s="1"/>
  <c r="D7" i="15"/>
  <c r="E7" i="15" s="1"/>
  <c r="D8" i="15"/>
  <c r="E8" i="15" s="1"/>
  <c r="D9" i="15"/>
  <c r="E9" i="15" s="1"/>
  <c r="D10" i="15"/>
  <c r="E10" i="15" s="1"/>
  <c r="D11" i="15"/>
  <c r="E11" i="15" s="1"/>
  <c r="D2" i="15"/>
  <c r="E2" i="15" s="1"/>
  <c r="D7" i="33"/>
  <c r="D3" i="37"/>
  <c r="D4" i="37"/>
  <c r="D5" i="37"/>
  <c r="D6" i="37"/>
  <c r="D13" i="43" l="1"/>
  <c r="B16" i="65" a="1"/>
  <c r="B16" i="65" s="1"/>
  <c r="B15" i="65" a="1"/>
  <c r="B15" i="65" s="1"/>
  <c r="B14" i="65" a="1"/>
  <c r="B14" i="65" s="1"/>
  <c r="C17" i="70"/>
  <c r="E17" i="70" s="1"/>
  <c r="C18" i="70"/>
  <c r="C19" i="70"/>
  <c r="C20" i="70"/>
  <c r="C21" i="70"/>
  <c r="E18" i="70"/>
  <c r="E21" i="70"/>
  <c r="K13" i="70"/>
  <c r="E20" i="70"/>
  <c r="E19" i="70"/>
  <c r="D18" i="70"/>
  <c r="D19" i="70"/>
  <c r="D20" i="70"/>
  <c r="D21" i="70"/>
  <c r="D17" i="70"/>
  <c r="B18" i="70"/>
  <c r="B19" i="70"/>
  <c r="B20" i="70"/>
  <c r="B21" i="70"/>
  <c r="B17" i="70"/>
  <c r="G20" i="69"/>
  <c r="F19" i="69"/>
  <c r="B5" i="68" l="1"/>
  <c r="B6" i="68"/>
  <c r="B9" i="68"/>
  <c r="B3" i="68"/>
  <c r="B7" i="68"/>
  <c r="B8" i="68"/>
  <c r="B2" i="68"/>
  <c r="C3" i="68"/>
  <c r="C4" i="68"/>
  <c r="C5" i="68"/>
  <c r="C6" i="68"/>
  <c r="C7" i="68"/>
  <c r="C8" i="68"/>
  <c r="C9" i="68"/>
  <c r="C2" i="68"/>
  <c r="E3" i="67"/>
  <c r="E4" i="67"/>
  <c r="E5" i="67"/>
  <c r="E6" i="67"/>
  <c r="E7" i="67"/>
  <c r="E8" i="67"/>
  <c r="E9" i="67"/>
  <c r="E10" i="67"/>
  <c r="E11" i="67"/>
  <c r="E2" i="67"/>
  <c r="C3" i="66"/>
  <c r="C4" i="66"/>
  <c r="C5" i="66"/>
  <c r="C6" i="66"/>
  <c r="C2" i="66"/>
  <c r="D3" i="64"/>
  <c r="D4" i="64"/>
  <c r="D5" i="64"/>
  <c r="D6" i="64"/>
  <c r="D7" i="64"/>
  <c r="D8" i="64"/>
  <c r="D9" i="64"/>
  <c r="D10" i="64"/>
  <c r="D11" i="64"/>
  <c r="D2" i="64"/>
  <c r="C3" i="63"/>
  <c r="C4" i="63"/>
  <c r="C5" i="63"/>
  <c r="C6" i="63"/>
  <c r="C2" i="63"/>
  <c r="E3" i="62"/>
  <c r="E4" i="62"/>
  <c r="E5" i="62"/>
  <c r="E6" i="62"/>
  <c r="E2" i="62"/>
  <c r="D3" i="62"/>
  <c r="D4" i="62"/>
  <c r="D5" i="62"/>
  <c r="D6" i="62"/>
  <c r="D2" i="62"/>
  <c r="B16" i="61"/>
  <c r="I4" i="60"/>
  <c r="I3" i="60"/>
  <c r="I5" i="60"/>
  <c r="I6" i="60"/>
  <c r="I2" i="60"/>
  <c r="B11" i="59"/>
  <c r="B3" i="59"/>
  <c r="B4" i="59"/>
  <c r="B5" i="59"/>
  <c r="B6" i="59"/>
  <c r="B7" i="59"/>
  <c r="B8" i="59"/>
  <c r="B9" i="59"/>
  <c r="B10" i="59"/>
  <c r="B2" i="59"/>
  <c r="D15" i="43"/>
  <c r="D14" i="43"/>
  <c r="C9" i="58"/>
  <c r="B9" i="58"/>
  <c r="C10" i="58"/>
  <c r="C11" i="58"/>
  <c r="D11" i="58"/>
  <c r="D10" i="58"/>
  <c r="D9" i="58"/>
  <c r="B11" i="58"/>
  <c r="B10" i="58"/>
  <c r="C3" i="57"/>
  <c r="C4" i="57"/>
  <c r="C5" i="57"/>
  <c r="C6" i="57"/>
  <c r="C7" i="57"/>
  <c r="C8" i="57"/>
  <c r="C2" i="57"/>
  <c r="C3" i="56"/>
  <c r="C4" i="56"/>
  <c r="C5" i="56"/>
  <c r="C6" i="56"/>
  <c r="C7" i="56"/>
  <c r="C8" i="56"/>
  <c r="C9" i="56"/>
  <c r="C10" i="56"/>
  <c r="C11" i="56"/>
  <c r="C2" i="56"/>
  <c r="B15" i="55"/>
  <c r="C5" i="46" l="1"/>
  <c r="F3" i="54"/>
  <c r="F4" i="54"/>
  <c r="F2" i="54"/>
  <c r="E3" i="54"/>
  <c r="E4" i="54"/>
  <c r="E2" i="54"/>
  <c r="D3" i="54"/>
  <c r="D4" i="54"/>
  <c r="D2" i="54"/>
  <c r="C3" i="54"/>
  <c r="C4" i="54"/>
  <c r="C2" i="54"/>
  <c r="E3" i="53"/>
  <c r="E4" i="53"/>
  <c r="E5" i="53"/>
  <c r="E6" i="53"/>
  <c r="E7" i="53"/>
  <c r="E8" i="53"/>
  <c r="E9" i="53"/>
  <c r="E10" i="53"/>
  <c r="E11" i="53"/>
  <c r="E2" i="53"/>
  <c r="F15" i="53" s="1"/>
  <c r="C3" i="52"/>
  <c r="C4" i="52"/>
  <c r="C5" i="52"/>
  <c r="C6" i="52"/>
  <c r="C2" i="52"/>
  <c r="E3" i="51"/>
  <c r="E4" i="51"/>
  <c r="E5" i="51"/>
  <c r="E6" i="51"/>
  <c r="E2" i="51"/>
  <c r="D3" i="51"/>
  <c r="D4" i="51"/>
  <c r="D5" i="51"/>
  <c r="D6" i="51"/>
  <c r="D2" i="51"/>
  <c r="D3" i="50"/>
  <c r="D4" i="50"/>
  <c r="D5" i="50"/>
  <c r="D6" i="50"/>
  <c r="E6" i="50" s="1"/>
  <c r="D2" i="50"/>
  <c r="E2" i="50"/>
  <c r="E3" i="50"/>
  <c r="E4" i="50"/>
  <c r="E5" i="50"/>
  <c r="E3" i="49"/>
  <c r="E4" i="49"/>
  <c r="E5" i="49"/>
  <c r="E6" i="49"/>
  <c r="E7" i="49"/>
  <c r="E8" i="49"/>
  <c r="E9" i="49"/>
  <c r="E10" i="49"/>
  <c r="E11" i="49"/>
  <c r="E2" i="49"/>
  <c r="B12" i="47"/>
  <c r="B11" i="47"/>
  <c r="F4" i="47"/>
  <c r="F5" i="47"/>
  <c r="F6" i="47"/>
  <c r="F7" i="47"/>
  <c r="F8" i="47"/>
  <c r="F3" i="47"/>
  <c r="F2" i="47"/>
  <c r="E3" i="47"/>
  <c r="E4" i="47"/>
  <c r="E5" i="47"/>
  <c r="E6" i="47"/>
  <c r="E7" i="47"/>
  <c r="E8" i="47"/>
  <c r="E2" i="47"/>
  <c r="C3" i="46"/>
  <c r="C4" i="46"/>
  <c r="C6" i="46"/>
  <c r="C2" i="46"/>
  <c r="B11" i="45"/>
  <c r="B10" i="45"/>
  <c r="B8" i="44"/>
  <c r="C11" i="42"/>
  <c r="C12" i="42"/>
  <c r="C10" i="42"/>
  <c r="B13" i="41"/>
  <c r="E3" i="41"/>
  <c r="E4" i="41"/>
  <c r="E5" i="41"/>
  <c r="E6" i="41"/>
  <c r="E7" i="41"/>
  <c r="E8" i="41"/>
  <c r="E9" i="41"/>
  <c r="E10" i="41"/>
  <c r="E11" i="41"/>
  <c r="E2" i="41"/>
  <c r="G3" i="40"/>
  <c r="G4" i="40"/>
  <c r="G5" i="40"/>
  <c r="G2" i="40"/>
  <c r="D3" i="39" l="1"/>
  <c r="D4" i="39"/>
  <c r="D5" i="39"/>
  <c r="D6" i="39"/>
  <c r="D2" i="39"/>
  <c r="E3" i="39"/>
  <c r="E4" i="39"/>
  <c r="E5" i="39"/>
  <c r="E6" i="39"/>
  <c r="E2" i="39"/>
  <c r="D3" i="38"/>
  <c r="D4" i="38"/>
  <c r="D5" i="38"/>
  <c r="D2" i="38"/>
  <c r="D2" i="37" l="1"/>
  <c r="C3" i="37"/>
  <c r="C4" i="37"/>
  <c r="C5" i="37"/>
  <c r="C6" i="37"/>
  <c r="C2" i="37"/>
  <c r="B7" i="36"/>
  <c r="F9" i="35"/>
  <c r="F8" i="35"/>
  <c r="D17" i="34"/>
  <c r="D16" i="34"/>
  <c r="D15" i="34"/>
  <c r="D14" i="34"/>
  <c r="D3" i="33"/>
  <c r="D4" i="33"/>
  <c r="D5" i="33"/>
  <c r="D6" i="33"/>
  <c r="D8" i="33"/>
  <c r="D9" i="33"/>
  <c r="D10" i="33"/>
  <c r="D11" i="33"/>
  <c r="D2" i="33"/>
  <c r="B19" i="32"/>
  <c r="C3" i="31" l="1"/>
  <c r="C4" i="31"/>
  <c r="C5" i="31"/>
  <c r="C6" i="31"/>
  <c r="C7" i="31"/>
  <c r="C8" i="31"/>
  <c r="C9" i="31"/>
  <c r="C10" i="31"/>
  <c r="C11" i="31"/>
  <c r="C2" i="31"/>
  <c r="B15" i="30" l="1"/>
  <c r="C3" i="29"/>
  <c r="C4" i="29"/>
  <c r="C5" i="29"/>
  <c r="C6" i="29"/>
  <c r="C2" i="29"/>
  <c r="B9" i="27"/>
  <c r="B8" i="27"/>
  <c r="D3" i="27"/>
  <c r="D4" i="27"/>
  <c r="D5" i="27"/>
  <c r="D6" i="27"/>
  <c r="D2" i="27"/>
  <c r="E10" i="26"/>
  <c r="F9" i="26"/>
  <c r="E9" i="26"/>
  <c r="B10" i="25"/>
  <c r="B9" i="25"/>
  <c r="F3" i="24"/>
  <c r="F4" i="24"/>
  <c r="F2" i="24"/>
  <c r="E4" i="24"/>
  <c r="E3" i="24"/>
  <c r="E2" i="24"/>
  <c r="D3" i="24"/>
  <c r="D4" i="24"/>
  <c r="D2" i="24"/>
  <c r="B15" i="23"/>
  <c r="B14" i="23"/>
  <c r="B16" i="22"/>
  <c r="B15" i="22"/>
  <c r="D5" i="21"/>
  <c r="D6" i="21"/>
  <c r="D7" i="21"/>
  <c r="D4" i="21"/>
  <c r="D3" i="21"/>
  <c r="D2" i="21"/>
  <c r="C3" i="20"/>
  <c r="C4" i="20"/>
  <c r="C2" i="20"/>
  <c r="E20" i="19"/>
  <c r="E19" i="19"/>
  <c r="E18" i="19"/>
  <c r="B2" i="18"/>
  <c r="B17" i="17" a="1"/>
  <c r="B17" i="17" s="1"/>
  <c r="B16" i="17" a="1"/>
  <c r="B16" i="17" s="1"/>
  <c r="D15" i="17" a="1"/>
  <c r="D15" i="17" s="1"/>
  <c r="C15" i="17" a="1"/>
  <c r="C15" i="17" s="1"/>
  <c r="B15" i="17" a="1"/>
  <c r="B15" i="17" s="1"/>
  <c r="C21" i="17"/>
  <c r="C2" i="16"/>
  <c r="D3" i="16"/>
  <c r="D4" i="16"/>
  <c r="D5" i="16"/>
  <c r="D6" i="16"/>
  <c r="D7" i="16"/>
  <c r="D2" i="16"/>
  <c r="C3" i="16"/>
  <c r="C4" i="16"/>
  <c r="C5" i="16"/>
  <c r="C6" i="16"/>
  <c r="C7" i="16"/>
  <c r="C3" i="15"/>
  <c r="C4" i="15"/>
  <c r="C5" i="15"/>
  <c r="C6" i="15"/>
  <c r="C7" i="15"/>
  <c r="C8" i="15"/>
  <c r="C9" i="15"/>
  <c r="C10" i="15"/>
  <c r="C11" i="15"/>
  <c r="C2" i="15"/>
  <c r="C16" i="14" a="1"/>
  <c r="C16" i="14" s="1"/>
  <c r="C15" i="14" a="1"/>
  <c r="C15" i="14" s="1"/>
  <c r="B16" i="14" a="1"/>
  <c r="B16" i="14" s="1"/>
  <c r="B15" i="14" a="1"/>
  <c r="B15" i="14" s="1"/>
  <c r="C13" i="13"/>
  <c r="D3" i="12"/>
  <c r="D4" i="12"/>
  <c r="D5" i="12"/>
  <c r="D2" i="12"/>
  <c r="E18" i="11" l="1"/>
  <c r="E16" i="11"/>
  <c r="E17" i="11"/>
  <c r="E15" i="11"/>
  <c r="I3" i="11"/>
  <c r="I4" i="11"/>
  <c r="I5" i="11"/>
  <c r="I6" i="11"/>
  <c r="I7" i="11"/>
  <c r="I8" i="11"/>
  <c r="I9" i="11"/>
  <c r="I10" i="11"/>
  <c r="I11" i="11"/>
  <c r="I2" i="11"/>
  <c r="H3" i="11"/>
  <c r="H4" i="11"/>
  <c r="H5" i="11"/>
  <c r="H6" i="11"/>
  <c r="H7" i="11"/>
  <c r="H8" i="11"/>
  <c r="H9" i="11"/>
  <c r="H10" i="11"/>
  <c r="H11" i="11"/>
  <c r="H2" i="11"/>
  <c r="G3" i="11"/>
  <c r="G4" i="11"/>
  <c r="G5" i="11"/>
  <c r="G6" i="11"/>
  <c r="G7" i="11"/>
  <c r="G8" i="11"/>
  <c r="G9" i="11"/>
  <c r="G10" i="11"/>
  <c r="G11" i="11"/>
  <c r="G2" i="11"/>
  <c r="F3" i="10"/>
  <c r="F4" i="10"/>
  <c r="F5" i="10"/>
  <c r="F6" i="10"/>
  <c r="F2" i="10"/>
  <c r="B8" i="9"/>
  <c r="B16" i="8"/>
  <c r="B14" i="8"/>
  <c r="B15" i="8"/>
  <c r="D2" i="7"/>
  <c r="D3" i="6"/>
  <c r="D4" i="6"/>
  <c r="D5" i="6"/>
  <c r="D6" i="6"/>
  <c r="D2" i="6"/>
  <c r="D4" i="5"/>
  <c r="D3" i="5"/>
  <c r="D5" i="5"/>
  <c r="D2" i="5"/>
  <c r="D3" i="4"/>
  <c r="D4" i="4"/>
  <c r="D5" i="4"/>
  <c r="D6" i="4"/>
  <c r="D2" i="4"/>
  <c r="C3" i="4"/>
  <c r="C4" i="4"/>
  <c r="C5" i="4"/>
  <c r="C6" i="4"/>
  <c r="C2" i="4"/>
  <c r="B8" i="2"/>
  <c r="V5" i="1"/>
  <c r="V6" i="1"/>
  <c r="V7" i="1"/>
  <c r="V8" i="1"/>
  <c r="V4" i="1"/>
  <c r="U5" i="1"/>
  <c r="U6" i="1"/>
  <c r="U7" i="1"/>
  <c r="U8" i="1"/>
  <c r="U4" i="1"/>
  <c r="T5" i="1"/>
  <c r="T6" i="1"/>
  <c r="T7" i="1"/>
  <c r="T8" i="1"/>
  <c r="T4" i="1"/>
  <c r="M5" i="1"/>
  <c r="M6" i="1"/>
  <c r="M7" i="1"/>
  <c r="M8" i="1"/>
  <c r="M4" i="1"/>
  <c r="S5" i="1"/>
  <c r="S6" i="1"/>
  <c r="S7" i="1"/>
  <c r="S8" i="1"/>
  <c r="S4" i="1"/>
  <c r="Q5" i="1"/>
  <c r="Q6" i="1"/>
  <c r="Q7" i="1"/>
  <c r="Q8" i="1"/>
  <c r="Q4" i="1"/>
  <c r="R5" i="1"/>
  <c r="R6" i="1"/>
  <c r="R7" i="1"/>
  <c r="R8" i="1"/>
  <c r="R4" i="1"/>
  <c r="P5" i="1"/>
  <c r="P6" i="1"/>
  <c r="P7" i="1"/>
  <c r="P8" i="1"/>
  <c r="P4" i="1"/>
  <c r="O5" i="1"/>
  <c r="O6" i="1"/>
  <c r="O7" i="1"/>
  <c r="O8" i="1"/>
  <c r="O4" i="1"/>
  <c r="N5" i="1"/>
  <c r="N6" i="1"/>
  <c r="N7" i="1"/>
  <c r="N8" i="1"/>
  <c r="N4" i="1"/>
  <c r="L5" i="1"/>
  <c r="L6" i="1"/>
  <c r="L7" i="1"/>
  <c r="L8" i="1"/>
  <c r="L4" i="1"/>
  <c r="K5" i="1"/>
  <c r="K6" i="1"/>
  <c r="K7" i="1"/>
  <c r="K8" i="1"/>
  <c r="K4" i="1"/>
  <c r="J5" i="1"/>
  <c r="J6" i="1"/>
  <c r="J7" i="1"/>
  <c r="J8" i="1"/>
  <c r="J4" i="1"/>
  <c r="I5" i="1"/>
  <c r="I6" i="1"/>
  <c r="I7" i="1"/>
  <c r="I8" i="1"/>
  <c r="I4" i="1"/>
  <c r="H5" i="1"/>
  <c r="H6" i="1"/>
  <c r="H7" i="1"/>
  <c r="H8" i="1"/>
  <c r="H4" i="1"/>
  <c r="G5" i="1"/>
  <c r="G6" i="1"/>
  <c r="G7" i="1"/>
  <c r="G8" i="1"/>
  <c r="G4" i="1"/>
  <c r="F5" i="1"/>
  <c r="F6" i="1"/>
  <c r="F7" i="1"/>
  <c r="F8" i="1"/>
  <c r="F4" i="1"/>
</calcChain>
</file>

<file path=xl/sharedStrings.xml><?xml version="1.0" encoding="utf-8"?>
<sst xmlns="http://schemas.openxmlformats.org/spreadsheetml/2006/main" count="2568" uniqueCount="1444">
  <si>
    <t>Product</t>
  </si>
  <si>
    <t>Sales</t>
  </si>
  <si>
    <t>Region</t>
  </si>
  <si>
    <t>Discount Eligible</t>
  </si>
  <si>
    <t>A</t>
  </si>
  <si>
    <t>East</t>
  </si>
  <si>
    <t>Yes</t>
  </si>
  <si>
    <t>B</t>
  </si>
  <si>
    <t>West</t>
  </si>
  <si>
    <t>No</t>
  </si>
  <si>
    <t>C</t>
  </si>
  <si>
    <t>D</t>
  </si>
  <si>
    <t>North</t>
  </si>
  <si>
    <t>E</t>
  </si>
  <si>
    <t>Check if Sales &gt; 100</t>
  </si>
  <si>
    <t>Test if Region = 'East'</t>
  </si>
  <si>
    <t>Check if Sales &gt; 100 AND Region = 'East'</t>
  </si>
  <si>
    <t>Check if Sales &lt; 100 OR Region = 'West'</t>
  </si>
  <si>
    <t>Check if Sales &gt; 100 AND &lt; 200</t>
  </si>
  <si>
    <t>Check if Sales &lt; 100 OR Region = North</t>
  </si>
  <si>
    <t>Check if Region = East AND Discount Eligible = 'Yes'</t>
  </si>
  <si>
    <t>Return Pass/Fail if Sales &gt; 150 AND Region = East</t>
  </si>
  <si>
    <t>Categorize Region as 'Main' if East, otherwise 'Other'</t>
  </si>
  <si>
    <t>Check if Sales &gt; 100 AND (Region = East OR Region = West)</t>
  </si>
  <si>
    <t>Mark Review if Sales &lt; 100 OR Region = North</t>
  </si>
  <si>
    <t>Apply 10% discount if Sales &gt; 150 AND Region = East</t>
  </si>
  <si>
    <t>Check if three conditions hold (Sales &gt; 100, Region = East, Discount Eligible = Yes)</t>
  </si>
  <si>
    <t>Mark 'Priority' if Sales &gt; 200 OR (Sales &gt; 100 AND Region = East)</t>
  </si>
  <si>
    <t>Flag mid-tier sales (Sales &gt; 100 and &lt; 200, but not East)</t>
  </si>
  <si>
    <t>Nested AND inside OR for discount rules</t>
  </si>
  <si>
    <t>Use nested IFs for tiered logic</t>
  </si>
  <si>
    <t>Product ID</t>
  </si>
  <si>
    <t xml:space="preserve">Product Name </t>
  </si>
  <si>
    <t>Category</t>
  </si>
  <si>
    <t>Units Sold</t>
  </si>
  <si>
    <t>Price Per Unit</t>
  </si>
  <si>
    <t>Total Revenue</t>
  </si>
  <si>
    <t>Electronics</t>
  </si>
  <si>
    <t>Fashion</t>
  </si>
  <si>
    <t>Books</t>
  </si>
  <si>
    <t>Toys</t>
  </si>
  <si>
    <t>P001</t>
  </si>
  <si>
    <t>P002</t>
  </si>
  <si>
    <t>P003</t>
  </si>
  <si>
    <t>P004</t>
  </si>
  <si>
    <t>P005</t>
  </si>
  <si>
    <t>Smartphone A</t>
  </si>
  <si>
    <t>Headphones C</t>
  </si>
  <si>
    <t>T-shirt D</t>
  </si>
  <si>
    <t>Book F</t>
  </si>
  <si>
    <t>Toy H</t>
  </si>
  <si>
    <t>Answer</t>
  </si>
  <si>
    <t xml:space="preserve">Customer Name </t>
  </si>
  <si>
    <t>Address</t>
  </si>
  <si>
    <t>Aman Sharma</t>
  </si>
  <si>
    <t>Priya Verma</t>
  </si>
  <si>
    <t xml:space="preserve">   Rajesh Kumar</t>
  </si>
  <si>
    <t>Sunita Reddy</t>
  </si>
  <si>
    <t xml:space="preserve">Vijay Singh </t>
  </si>
  <si>
    <t>Cleaned Customer Name</t>
  </si>
  <si>
    <t>Cleaned Address</t>
  </si>
  <si>
    <t>123,Mg Road, Delhi</t>
  </si>
  <si>
    <t>456, Brigade Road, Bangalore</t>
  </si>
  <si>
    <t>789, Anna Salai, Chennai</t>
  </si>
  <si>
    <t xml:space="preserve">    1010, Park Street, Kolkata</t>
  </si>
  <si>
    <t>1111, Banjara Hills, Hyderabad</t>
  </si>
  <si>
    <t>State</t>
  </si>
  <si>
    <t>Maharashtra</t>
  </si>
  <si>
    <t>Karnataka</t>
  </si>
  <si>
    <t>Tamil Nadu</t>
  </si>
  <si>
    <t>Kerala</t>
  </si>
  <si>
    <t>Ad Clicks</t>
  </si>
  <si>
    <t>Revenue</t>
  </si>
  <si>
    <t>Corrected revenue</t>
  </si>
  <si>
    <t>Customer Name</t>
  </si>
  <si>
    <t>Hours</t>
  </si>
  <si>
    <t>Minutes</t>
  </si>
  <si>
    <t>Billing Time</t>
  </si>
  <si>
    <t>Reliance</t>
  </si>
  <si>
    <t>TCS</t>
  </si>
  <si>
    <t>Infosys</t>
  </si>
  <si>
    <t>HDFC Bank</t>
  </si>
  <si>
    <t>ICICI Bank</t>
  </si>
  <si>
    <t>Seller ID</t>
  </si>
  <si>
    <t>Seller Name</t>
  </si>
  <si>
    <t>Ram Trading Co.</t>
  </si>
  <si>
    <t>MAHESH Enterprises</t>
  </si>
  <si>
    <t>Vinayaka STORES</t>
  </si>
  <si>
    <t>Anand &amp; Sons</t>
  </si>
  <si>
    <t>Shree Ganesh Mart</t>
  </si>
  <si>
    <t>Sales Figure(Text)</t>
  </si>
  <si>
    <t>Sales Figure(Number)</t>
  </si>
  <si>
    <t>10000</t>
  </si>
  <si>
    <t>15000</t>
  </si>
  <si>
    <t>20000</t>
  </si>
  <si>
    <t>25000</t>
  </si>
  <si>
    <t>30000</t>
  </si>
  <si>
    <t>Vehicle Id</t>
  </si>
  <si>
    <t>V001</t>
  </si>
  <si>
    <t>V002</t>
  </si>
  <si>
    <t>V003</t>
  </si>
  <si>
    <t>V004</t>
  </si>
  <si>
    <t>V005</t>
  </si>
  <si>
    <t>V006</t>
  </si>
  <si>
    <t>V007</t>
  </si>
  <si>
    <t>V008</t>
  </si>
  <si>
    <t>V009</t>
  </si>
  <si>
    <t>V010</t>
  </si>
  <si>
    <t>Price (INR)</t>
  </si>
  <si>
    <t>25th Percentile</t>
  </si>
  <si>
    <t>50th Percentile</t>
  </si>
  <si>
    <t>75th Percentile</t>
  </si>
  <si>
    <t xml:space="preserve">Region </t>
  </si>
  <si>
    <t>Support Tickets Received</t>
  </si>
  <si>
    <t>South</t>
  </si>
  <si>
    <t>Central</t>
  </si>
  <si>
    <t>Item Id</t>
  </si>
  <si>
    <t>Item Name</t>
  </si>
  <si>
    <t>Units Requested</t>
  </si>
  <si>
    <t>Units Available</t>
  </si>
  <si>
    <t>Price per Unit</t>
  </si>
  <si>
    <t>Revenue Loss</t>
  </si>
  <si>
    <t>Denim Jacket</t>
  </si>
  <si>
    <t>Leather Boots</t>
  </si>
  <si>
    <t>Summer Dress</t>
  </si>
  <si>
    <t>Casual Dress</t>
  </si>
  <si>
    <t>Formal Trousers</t>
  </si>
  <si>
    <t>Campaign Name</t>
  </si>
  <si>
    <t>Campaign A</t>
  </si>
  <si>
    <t>Campaign B</t>
  </si>
  <si>
    <t>Campaign C</t>
  </si>
  <si>
    <t>Campaign D</t>
  </si>
  <si>
    <t>Campaign E</t>
  </si>
  <si>
    <t>Campaign F</t>
  </si>
  <si>
    <t>Campaign G</t>
  </si>
  <si>
    <t>Campaign H</t>
  </si>
  <si>
    <t>Campaign I</t>
  </si>
  <si>
    <t>Campaign J</t>
  </si>
  <si>
    <t>Impressions</t>
  </si>
  <si>
    <t>Clicks</t>
  </si>
  <si>
    <t>Conversions</t>
  </si>
  <si>
    <t xml:space="preserve">Cost </t>
  </si>
  <si>
    <t>Conversion Rate %</t>
  </si>
  <si>
    <t>Cost per Click (CPC)</t>
  </si>
  <si>
    <t>Return On Investment</t>
  </si>
  <si>
    <t>Top Performing Campaign Based on ROI</t>
  </si>
  <si>
    <t>Least Performing Campaign Based on ROI</t>
  </si>
  <si>
    <t>Top Performing Campaign Based on Revnue</t>
  </si>
  <si>
    <t>Least Performing Campaign Based on Revenue</t>
  </si>
  <si>
    <t>Transaction ID</t>
  </si>
  <si>
    <t>User ID</t>
  </si>
  <si>
    <t>Amount Spent (In Rupees)</t>
  </si>
  <si>
    <t>Amount Spent Whole Number</t>
  </si>
  <si>
    <t>MG012</t>
  </si>
  <si>
    <t>MG789</t>
  </si>
  <si>
    <t>MG456</t>
  </si>
  <si>
    <t>MG123</t>
  </si>
  <si>
    <t>Customer ID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</si>
  <si>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</si>
  <si>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</si>
  <si>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</si>
  <si>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</si>
  <si>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</si>
  <si>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</si>
  <si>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</si>
  <si>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</si>
  <si>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</si>
  <si>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</si>
  <si>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</si>
  <si>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</si>
  <si>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</si>
  <si>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</si>
  <si>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</si>
  <si>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</si>
  <si>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</si>
  <si>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</si>
  <si>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</si>
  <si>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</si>
  <si>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</si>
  <si>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</si>
  <si>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Standard Deviation</t>
  </si>
  <si>
    <t>Ad Type</t>
  </si>
  <si>
    <t>Revenue(INR)</t>
  </si>
  <si>
    <t xml:space="preserve">North </t>
  </si>
  <si>
    <t>Display Ads</t>
  </si>
  <si>
    <t>Video Ads</t>
  </si>
  <si>
    <t>Search Ads</t>
  </si>
  <si>
    <t>Customer Id</t>
  </si>
  <si>
    <t>Discount Code</t>
  </si>
  <si>
    <t>Anil Kumar</t>
  </si>
  <si>
    <t>Priya Sharma</t>
  </si>
  <si>
    <t>Rohit Verma</t>
  </si>
  <si>
    <t>Sunita Rao</t>
  </si>
  <si>
    <t>Rajesh Singh</t>
  </si>
  <si>
    <t>Neha Gupta</t>
  </si>
  <si>
    <t>Manish Tiwari</t>
  </si>
  <si>
    <t>Kavita Patel</t>
  </si>
  <si>
    <t>Rakesh Mehra</t>
  </si>
  <si>
    <t>Pooja Joshi</t>
  </si>
  <si>
    <t>Batch Code</t>
  </si>
  <si>
    <t>Product Name</t>
  </si>
  <si>
    <t>Is Batch Code Valid</t>
  </si>
  <si>
    <t>SHMP-001234</t>
  </si>
  <si>
    <t>SHMP-AB12345</t>
  </si>
  <si>
    <t>SHMP-XY9999</t>
  </si>
  <si>
    <t>SHMP-123AA</t>
  </si>
  <si>
    <t>SHMP-123456789A</t>
  </si>
  <si>
    <t xml:space="preserve">SHMP-YYZZ1234 </t>
  </si>
  <si>
    <t>Head &amp; Shoulders Quick Dry Shampoo</t>
  </si>
  <si>
    <t>SunSilk Smooth Shampoo</t>
  </si>
  <si>
    <t>Dove Basic Oil Care Shampoo</t>
  </si>
  <si>
    <t>SunSilk Smooth &amp; Shiny Shampoo</t>
  </si>
  <si>
    <t>Dove Nourishing Oil Care Shampoo</t>
  </si>
  <si>
    <t>Head &amp; Shoulders Cool Menthol Shampoo</t>
  </si>
  <si>
    <t>January</t>
  </si>
  <si>
    <t>February</t>
  </si>
  <si>
    <t>March</t>
  </si>
  <si>
    <t>April</t>
  </si>
  <si>
    <t>June</t>
  </si>
  <si>
    <t>Client Investment Data</t>
  </si>
  <si>
    <t>Client ID</t>
  </si>
  <si>
    <t>Asset Type</t>
  </si>
  <si>
    <t>Investment Amount</t>
  </si>
  <si>
    <t>Stocks</t>
  </si>
  <si>
    <t>Bonds</t>
  </si>
  <si>
    <t>Real Estate</t>
  </si>
  <si>
    <t>Mutual Funds</t>
  </si>
  <si>
    <t>Client Summary</t>
  </si>
  <si>
    <t>Client Id</t>
  </si>
  <si>
    <t>Total Investment</t>
  </si>
  <si>
    <t>Client Investment Calculator</t>
  </si>
  <si>
    <t xml:space="preserve">Asset Type </t>
  </si>
  <si>
    <t>Email Address</t>
  </si>
  <si>
    <t>john.doe@gmail.com</t>
  </si>
  <si>
    <t>jane.smith@gmail.com</t>
  </si>
  <si>
    <t>j.ohndoe@gmail.com</t>
  </si>
  <si>
    <t>jan.e.sm.ith@gmail.com</t>
  </si>
  <si>
    <t>mark.parker@yahoo.com</t>
  </si>
  <si>
    <t>Normalized Email</t>
  </si>
  <si>
    <t>Loan ID</t>
  </si>
  <si>
    <t>Loan Type</t>
  </si>
  <si>
    <t xml:space="preserve">Loan Amount </t>
  </si>
  <si>
    <t>Personal</t>
  </si>
  <si>
    <t xml:space="preserve">Business </t>
  </si>
  <si>
    <t>Education</t>
  </si>
  <si>
    <t>Total Amount Disbursed for Personal Loans</t>
  </si>
  <si>
    <t>Total Amount Disbursed for Business Loans</t>
  </si>
  <si>
    <t>Total Amount Disbursed for Education Loans</t>
  </si>
  <si>
    <t xml:space="preserve">Number </t>
  </si>
  <si>
    <t>Account Age(Months)</t>
  </si>
  <si>
    <t>Branch Allocation</t>
  </si>
  <si>
    <t>Sale Id</t>
  </si>
  <si>
    <t>Sale Date</t>
  </si>
  <si>
    <t>Sale Amount</t>
  </si>
  <si>
    <t>Month</t>
  </si>
  <si>
    <t>July</t>
  </si>
  <si>
    <t>August</t>
  </si>
  <si>
    <t>September</t>
  </si>
  <si>
    <t>October</t>
  </si>
  <si>
    <t>November</t>
  </si>
  <si>
    <t>December</t>
  </si>
  <si>
    <t>Sales Revenue(INR Crores)</t>
  </si>
  <si>
    <t>Advertising Spend (INR lakhs)</t>
  </si>
  <si>
    <t>Covariance</t>
  </si>
  <si>
    <t>Correlation</t>
  </si>
  <si>
    <t>Delivery Time (Days)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</si>
  <si>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</si>
  <si>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</si>
  <si>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</si>
  <si>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</si>
  <si>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</si>
  <si>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</si>
  <si>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</si>
  <si>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</si>
  <si>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</si>
  <si>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</si>
  <si>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Median</t>
  </si>
  <si>
    <t>Average</t>
  </si>
  <si>
    <t>Item</t>
  </si>
  <si>
    <t>Qty</t>
  </si>
  <si>
    <t>Unit Price</t>
  </si>
  <si>
    <t>Total Cost</t>
  </si>
  <si>
    <t>Discount Applied</t>
  </si>
  <si>
    <t>Final Cost</t>
  </si>
  <si>
    <t>Sofa Set</t>
  </si>
  <si>
    <t>Dinning Table</t>
  </si>
  <si>
    <t>Bed Frame</t>
  </si>
  <si>
    <t>Student Id</t>
  </si>
  <si>
    <t>VED101</t>
  </si>
  <si>
    <t>VED102</t>
  </si>
  <si>
    <t>VED103</t>
  </si>
  <si>
    <t>VED104</t>
  </si>
  <si>
    <t>VED105</t>
  </si>
  <si>
    <t>Grade</t>
  </si>
  <si>
    <t>6th</t>
  </si>
  <si>
    <t xml:space="preserve">7th </t>
  </si>
  <si>
    <t>Test Score</t>
  </si>
  <si>
    <t>Average Score</t>
  </si>
  <si>
    <t>7th</t>
  </si>
  <si>
    <t>Mumbai</t>
  </si>
  <si>
    <t>Delhi</t>
  </si>
  <si>
    <t>Hyderabad</t>
  </si>
  <si>
    <t>Chennai</t>
  </si>
  <si>
    <t xml:space="preserve">Data for </t>
  </si>
  <si>
    <t xml:space="preserve">Mumbai </t>
  </si>
  <si>
    <t xml:space="preserve">for </t>
  </si>
  <si>
    <t>Bengaluru</t>
  </si>
  <si>
    <t>Order Id</t>
  </si>
  <si>
    <t>Order Date &amp; time</t>
  </si>
  <si>
    <t>Delivery Date &amp; time</t>
  </si>
  <si>
    <t>Time taken(In hours)</t>
  </si>
  <si>
    <t>Average Delivery Time</t>
  </si>
  <si>
    <t>Date and time of last delivery</t>
  </si>
  <si>
    <t>Raw Loan Data</t>
  </si>
  <si>
    <t>Rita Gupta,Loan Amount:300000,Interest Rate:8.2%Tenure:7 Years,Rejected</t>
  </si>
  <si>
    <t>priya Iyer,Loan Amount:250000,Interest Rate:7.8%Tenure:5 Years,Approved</t>
  </si>
  <si>
    <t>Anil Kumar,Loan Amount:750000,Interest Rate:8.0%Tenure:12 Years,Approved</t>
  </si>
  <si>
    <t>Vijay singh,Loan Amount:1000000,Interest Rate:6.9%Tenure:15 Years,Approved</t>
  </si>
  <si>
    <t>ramesh kumar,Loan Amount:500000,Interest Rate:7.5%Tenure:10 Years,Approved</t>
  </si>
  <si>
    <t>Course Category</t>
  </si>
  <si>
    <t>ASCII Code</t>
  </si>
  <si>
    <t>UPSC</t>
  </si>
  <si>
    <t>NEET</t>
  </si>
  <si>
    <t>JEE</t>
  </si>
  <si>
    <t>CAT</t>
  </si>
  <si>
    <t>GATE</t>
  </si>
  <si>
    <t>Character</t>
  </si>
  <si>
    <t>Janaury</t>
  </si>
  <si>
    <t xml:space="preserve">March </t>
  </si>
  <si>
    <t>Revenue in $MM</t>
  </si>
  <si>
    <t xml:space="preserve">Total Year </t>
  </si>
  <si>
    <t>Freshdesk</t>
  </si>
  <si>
    <t>Freshservice</t>
  </si>
  <si>
    <t>Freshsales</t>
  </si>
  <si>
    <t>Freshmarketer</t>
  </si>
  <si>
    <t>Freshteam</t>
  </si>
  <si>
    <t>Freshchat</t>
  </si>
  <si>
    <t>Freshcaller</t>
  </si>
  <si>
    <t>Freshping</t>
  </si>
  <si>
    <t>Freshstatus</t>
  </si>
  <si>
    <t>Freshrelease</t>
  </si>
  <si>
    <t>Monthly Revenue</t>
  </si>
  <si>
    <t>Rounded Down Monthly Revenue</t>
  </si>
  <si>
    <t>Volunteering Hours</t>
  </si>
  <si>
    <t>Vehicle ID</t>
  </si>
  <si>
    <t>Vehicle Model</t>
  </si>
  <si>
    <t>Manufacturing Year</t>
  </si>
  <si>
    <t>Age Classification</t>
  </si>
  <si>
    <t>Maruti Swift</t>
  </si>
  <si>
    <t>Hyundai i20</t>
  </si>
  <si>
    <t>Honda City</t>
  </si>
  <si>
    <t>Toyota Fortuner</t>
  </si>
  <si>
    <t>Tata Nexon</t>
  </si>
  <si>
    <t>Ford EcoSport</t>
  </si>
  <si>
    <t>Kia Seltos</t>
  </si>
  <si>
    <t>Mahindra Scorpio</t>
  </si>
  <si>
    <t>Volkswagen Polo</t>
  </si>
  <si>
    <t>Renault Kwid</t>
  </si>
  <si>
    <t>Product Id</t>
  </si>
  <si>
    <t>Stock Quantity</t>
  </si>
  <si>
    <t>Supplier</t>
  </si>
  <si>
    <t>Basmati Rice</t>
  </si>
  <si>
    <t>Wheat flour</t>
  </si>
  <si>
    <t>Turmeric Powder</t>
  </si>
  <si>
    <t>Red Chilli Powder</t>
  </si>
  <si>
    <t>Sunflower oil</t>
  </si>
  <si>
    <t>Mustard Oil</t>
  </si>
  <si>
    <t>Sugar</t>
  </si>
  <si>
    <t>Salt</t>
  </si>
  <si>
    <t>Honey</t>
  </si>
  <si>
    <t>Green Tea</t>
  </si>
  <si>
    <t>Grains</t>
  </si>
  <si>
    <t>Spices</t>
  </si>
  <si>
    <t>Sweetners</t>
  </si>
  <si>
    <t>Condiments</t>
  </si>
  <si>
    <t>Beverages</t>
  </si>
  <si>
    <t>Supplier A</t>
  </si>
  <si>
    <t>Supplier B</t>
  </si>
  <si>
    <t>Supplier C</t>
  </si>
  <si>
    <t>Total Value of Stock for</t>
  </si>
  <si>
    <t>Stock Quantity  of:</t>
  </si>
  <si>
    <t>Oils</t>
  </si>
  <si>
    <t>Campaign</t>
  </si>
  <si>
    <t>Conversion Rate Calculator</t>
  </si>
  <si>
    <t xml:space="preserve">Campaign C </t>
  </si>
  <si>
    <t>Andhra Pradesh</t>
  </si>
  <si>
    <t>Gujarat</t>
  </si>
  <si>
    <t>Price per kg</t>
  </si>
  <si>
    <t>Ticket id</t>
  </si>
  <si>
    <t>Customer Full Name</t>
  </si>
  <si>
    <t>Ticket Number</t>
  </si>
  <si>
    <t>Issue Description</t>
  </si>
  <si>
    <t>Raw Ticket Data</t>
  </si>
  <si>
    <t>John,Doe[#12345]-Internet is down since last night</t>
  </si>
  <si>
    <t>Mary,Jane[#23456]-Billing Issue: charged twice for the same month</t>
  </si>
  <si>
    <t>Ahmed,Khan [#34567]- Need assistance with setting up a new router</t>
  </si>
  <si>
    <t>Priya, Sharma [#45678]-The network coverage is poor in my area</t>
  </si>
  <si>
    <t>Rajesh,Gupta [#56789]- Connection speed is very slow,experiencing frequent disconnections</t>
  </si>
  <si>
    <t>User Id</t>
  </si>
  <si>
    <t>USR123</t>
  </si>
  <si>
    <t>USR456</t>
  </si>
  <si>
    <t>USR789</t>
  </si>
  <si>
    <t>City Tier</t>
  </si>
  <si>
    <t>Tier 1</t>
  </si>
  <si>
    <t>Tier 2</t>
  </si>
  <si>
    <t>Tier 3</t>
  </si>
  <si>
    <t>Average Daily App Usage (In Minutes)</t>
  </si>
  <si>
    <t>USR012</t>
  </si>
  <si>
    <t>Meets Condition</t>
  </si>
  <si>
    <t>Seller Id</t>
  </si>
  <si>
    <t>Joining Month</t>
  </si>
  <si>
    <t>Standardizing Seller Name</t>
  </si>
  <si>
    <t>Standardizing Month Name</t>
  </si>
  <si>
    <t>Ram Trdaing Co.</t>
  </si>
  <si>
    <t>SHREE GANESH Mart</t>
  </si>
  <si>
    <t>Area</t>
  </si>
  <si>
    <t>Friday Evening</t>
  </si>
  <si>
    <t>Saturday Daytime</t>
  </si>
  <si>
    <t>Saturday Eveninh</t>
  </si>
  <si>
    <t>Sunday Daytime</t>
  </si>
  <si>
    <t>Sunday Evening</t>
  </si>
  <si>
    <t>South Mumbai</t>
  </si>
  <si>
    <t>Bandra-Kurla Complex</t>
  </si>
  <si>
    <t>Andheri West</t>
  </si>
  <si>
    <t>Powai</t>
  </si>
  <si>
    <t>Highest Ride Request</t>
  </si>
  <si>
    <t>Ad ID</t>
  </si>
  <si>
    <t>Has Zero Clicks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</si>
  <si>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</si>
  <si>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</si>
  <si>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</si>
  <si>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</si>
  <si>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</si>
  <si>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</si>
  <si>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</si>
  <si>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</si>
  <si>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</si>
  <si>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</si>
  <si>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Banner Ad</t>
  </si>
  <si>
    <t>Video Ad</t>
  </si>
  <si>
    <t>Carousel Ad</t>
  </si>
  <si>
    <t>Sponsored Post</t>
  </si>
  <si>
    <t>Display Ad</t>
  </si>
  <si>
    <t>Native Ad</t>
  </si>
  <si>
    <t>Text Ad</t>
  </si>
  <si>
    <t>Pop-up Ad</t>
  </si>
  <si>
    <t>Overlay Ad</t>
  </si>
  <si>
    <t>Interactive Ad</t>
  </si>
  <si>
    <t>Contest A</t>
  </si>
  <si>
    <t>Contest B</t>
  </si>
  <si>
    <t>Contest C</t>
  </si>
  <si>
    <t>Contest D</t>
  </si>
  <si>
    <t>Contest E</t>
  </si>
  <si>
    <t>Contest Name</t>
  </si>
  <si>
    <t>Target Month</t>
  </si>
  <si>
    <t>Prize Money</t>
  </si>
  <si>
    <t>Client Name</t>
  </si>
  <si>
    <t>Stock Symbol</t>
  </si>
  <si>
    <t>Quantity</t>
  </si>
  <si>
    <t>Purchase Price</t>
  </si>
  <si>
    <t>Current Price</t>
  </si>
  <si>
    <t>Portfolio Value</t>
  </si>
  <si>
    <t>Rajesh Kumar</t>
  </si>
  <si>
    <t>Anjali Sharma</t>
  </si>
  <si>
    <t>Vivek Gupta</t>
  </si>
  <si>
    <t>Sneha Patel</t>
  </si>
  <si>
    <t>Amit Rao</t>
  </si>
  <si>
    <t>Priya Mehta</t>
  </si>
  <si>
    <t>Manish Agarwal</t>
  </si>
  <si>
    <t>Kavita Joshi</t>
  </si>
  <si>
    <t>Rohan Das</t>
  </si>
  <si>
    <t>Neha Verma</t>
  </si>
  <si>
    <t>INFY</t>
  </si>
  <si>
    <t>RELIANCE</t>
  </si>
  <si>
    <t>HDFC</t>
  </si>
  <si>
    <t>ICICIBANK</t>
  </si>
  <si>
    <t>WIPRO</t>
  </si>
  <si>
    <t>SBI</t>
  </si>
  <si>
    <t>HCLTECH</t>
  </si>
  <si>
    <t>BHARTIAIRTL</t>
  </si>
  <si>
    <t>AXISBANK</t>
  </si>
  <si>
    <t>Row Number  of</t>
  </si>
  <si>
    <t xml:space="preserve">Purchase Price of </t>
  </si>
  <si>
    <t xml:space="preserve">Current Price of </t>
  </si>
  <si>
    <t>Service Name</t>
  </si>
  <si>
    <t>SMS Marketing</t>
  </si>
  <si>
    <t>Chatbots</t>
  </si>
  <si>
    <t>Voice Messaging</t>
  </si>
  <si>
    <t>Email Integration</t>
  </si>
  <si>
    <t>Push Notifications</t>
  </si>
  <si>
    <t>Engagement Rate (%)</t>
  </si>
  <si>
    <t xml:space="preserve">Day </t>
  </si>
  <si>
    <t>Total Cash Deposited</t>
  </si>
  <si>
    <t>Monday</t>
  </si>
  <si>
    <t>Tuesday</t>
  </si>
  <si>
    <t>Wednesday</t>
  </si>
  <si>
    <t>Thursday</t>
  </si>
  <si>
    <t>Friday</t>
  </si>
  <si>
    <t>Saturday</t>
  </si>
  <si>
    <t>Sunday</t>
  </si>
  <si>
    <t>Car Model</t>
  </si>
  <si>
    <t>Units Sold Q1 2024</t>
  </si>
  <si>
    <t>Mahindra XUV500</t>
  </si>
  <si>
    <t>Rank</t>
  </si>
  <si>
    <t>Booking ID</t>
  </si>
  <si>
    <t>John Doe</t>
  </si>
  <si>
    <t>Jane Smith</t>
  </si>
  <si>
    <t>Miachel Brown</t>
  </si>
  <si>
    <t>Sarah Johnson</t>
  </si>
  <si>
    <t>David Lee</t>
  </si>
  <si>
    <t>Emily Wang</t>
  </si>
  <si>
    <t>Chris Chen</t>
  </si>
  <si>
    <t>Check Out Date</t>
  </si>
  <si>
    <t>Check In Date</t>
  </si>
  <si>
    <t>Year</t>
  </si>
  <si>
    <t>Stay Duration</t>
  </si>
  <si>
    <t>How Many Bookings were made in 2023?</t>
  </si>
  <si>
    <t>What is the average length of stay (in days) for these bookings</t>
  </si>
  <si>
    <t>Western Wear</t>
  </si>
  <si>
    <t>Ethnic Wear</t>
  </si>
  <si>
    <t>Accessories</t>
  </si>
  <si>
    <t>Foot wear</t>
  </si>
  <si>
    <t>Home Décor</t>
  </si>
  <si>
    <t>Average Sales of Last 3Months for the Category</t>
  </si>
  <si>
    <t>Vehicle Registeration Number</t>
  </si>
  <si>
    <t>Vehicle Type</t>
  </si>
  <si>
    <t xml:space="preserve">Hatchback </t>
  </si>
  <si>
    <t>Sedan</t>
  </si>
  <si>
    <t>SUV</t>
  </si>
  <si>
    <t>DL3CA1234</t>
  </si>
  <si>
    <t>MH12AB5678</t>
  </si>
  <si>
    <t>KA01CD9876</t>
  </si>
  <si>
    <t>GJ05EF2345</t>
  </si>
  <si>
    <t>TN07GH8765</t>
  </si>
  <si>
    <t>HR02IJ3456</t>
  </si>
  <si>
    <t>RJ03KL6789</t>
  </si>
  <si>
    <t>UP04MN4321</t>
  </si>
  <si>
    <t>PB05OP1234</t>
  </si>
  <si>
    <t>MP06QR7890</t>
  </si>
  <si>
    <t>Registeration State</t>
  </si>
  <si>
    <t>Haryana</t>
  </si>
  <si>
    <t>Rajasthan</t>
  </si>
  <si>
    <t>Uttar Pradesh</t>
  </si>
  <si>
    <t>Punjab</t>
  </si>
  <si>
    <t>Madhya Pradesh</t>
  </si>
  <si>
    <t>Last Digits of Registeration</t>
  </si>
  <si>
    <t>Project ID</t>
  </si>
  <si>
    <t>Start Date</t>
  </si>
  <si>
    <t>Estimated Completion (days)</t>
  </si>
  <si>
    <t>Current Progress</t>
  </si>
  <si>
    <t>Planned Deployment Dates</t>
  </si>
  <si>
    <t>Loan Id</t>
  </si>
  <si>
    <t>Loan Issue Date</t>
  </si>
  <si>
    <t>Repayment Term (Months)</t>
  </si>
  <si>
    <t>Loan Due Dates</t>
  </si>
  <si>
    <t>Overdue Status</t>
  </si>
  <si>
    <t>Proper Case Name</t>
  </si>
  <si>
    <t>john doe</t>
  </si>
  <si>
    <t>JANE SMITH</t>
  </si>
  <si>
    <t>rahul kumar</t>
  </si>
  <si>
    <t>SONALI ROY</t>
  </si>
  <si>
    <t>kapil dev</t>
  </si>
  <si>
    <t>Pune</t>
  </si>
  <si>
    <t>Jaipur</t>
  </si>
  <si>
    <t>Property Id</t>
  </si>
  <si>
    <t>P006</t>
  </si>
  <si>
    <t>P007</t>
  </si>
  <si>
    <t>P008</t>
  </si>
  <si>
    <t>P009</t>
  </si>
  <si>
    <t>P010</t>
  </si>
  <si>
    <t>City</t>
  </si>
  <si>
    <t>Bangalore</t>
  </si>
  <si>
    <t>Kolkata</t>
  </si>
  <si>
    <t>Ahmedabad</t>
  </si>
  <si>
    <t>Gurugram</t>
  </si>
  <si>
    <t>Property Type</t>
  </si>
  <si>
    <t>Apartment</t>
  </si>
  <si>
    <t>Villa</t>
  </si>
  <si>
    <t>House</t>
  </si>
  <si>
    <t>Listing Date</t>
  </si>
  <si>
    <t>Age of Property Listings (In Days)</t>
  </si>
  <si>
    <t>Average Age of Properties by City</t>
  </si>
  <si>
    <t>Radha</t>
  </si>
  <si>
    <t>Suresh</t>
  </si>
  <si>
    <t>Priya</t>
  </si>
  <si>
    <t>Total Purchase Amount</t>
  </si>
  <si>
    <t>Loyalty Tier</t>
  </si>
  <si>
    <t>Discount %</t>
  </si>
  <si>
    <t>Deliveries</t>
  </si>
  <si>
    <t>Customer Satisfaction</t>
  </si>
  <si>
    <t>Correlation Coefficient</t>
  </si>
  <si>
    <t>Customer ranking</t>
  </si>
  <si>
    <t>Percentile Rank</t>
  </si>
  <si>
    <t>Date</t>
  </si>
  <si>
    <t xml:space="preserve">Transaction Count </t>
  </si>
  <si>
    <t>Truncated Amount</t>
  </si>
  <si>
    <t>AI Chatbot</t>
  </si>
  <si>
    <t>AI Analytics</t>
  </si>
  <si>
    <t>Machine Learning</t>
  </si>
  <si>
    <t>Data Processing</t>
  </si>
  <si>
    <t>Image Recognition</t>
  </si>
  <si>
    <t>Price</t>
  </si>
  <si>
    <t>Software</t>
  </si>
  <si>
    <t>Training</t>
  </si>
  <si>
    <t>Service</t>
  </si>
  <si>
    <t>Movie Title</t>
  </si>
  <si>
    <t>Movie Genre</t>
  </si>
  <si>
    <t>Avtar-Action</t>
  </si>
  <si>
    <t>Inception-Sci-Fi</t>
  </si>
  <si>
    <t>The Dark Knight-Action</t>
  </si>
  <si>
    <t>Titanic-Romance</t>
  </si>
  <si>
    <t>Interstellar-Sci-Fi</t>
  </si>
  <si>
    <t>Joker-Drama</t>
  </si>
  <si>
    <t>Avengers:Endgame-Action</t>
  </si>
  <si>
    <t>The Lion King-Animation</t>
  </si>
  <si>
    <t>Bahubali: The Beginning - Action</t>
  </si>
  <si>
    <t>Dangal-Drama</t>
  </si>
  <si>
    <t>Server ID</t>
  </si>
  <si>
    <t>S001</t>
  </si>
  <si>
    <t>S002</t>
  </si>
  <si>
    <t>S003</t>
  </si>
  <si>
    <t>S004</t>
  </si>
  <si>
    <t>S005</t>
  </si>
  <si>
    <t>Day 1</t>
  </si>
  <si>
    <t>Day 2</t>
  </si>
  <si>
    <t>Day 3</t>
  </si>
  <si>
    <t>Day 4</t>
  </si>
  <si>
    <t>Day 5</t>
  </si>
  <si>
    <t>Day 6</t>
  </si>
  <si>
    <t>Day 7</t>
  </si>
  <si>
    <t>Response Variance Time</t>
  </si>
  <si>
    <t>Transaction Id</t>
  </si>
  <si>
    <t>Recharge Amount</t>
  </si>
  <si>
    <t>T1234</t>
  </si>
  <si>
    <t>T5678</t>
  </si>
  <si>
    <t>T8901</t>
  </si>
  <si>
    <t>T8902</t>
  </si>
  <si>
    <t>T9876</t>
  </si>
  <si>
    <t>T9843</t>
  </si>
  <si>
    <t>T7262</t>
  </si>
  <si>
    <t>T7312</t>
  </si>
  <si>
    <t>T8112</t>
  </si>
  <si>
    <t>T9912</t>
  </si>
  <si>
    <t>T0928</t>
  </si>
  <si>
    <t>T1233</t>
  </si>
  <si>
    <t>T8764</t>
  </si>
  <si>
    <t>Original Price</t>
  </si>
  <si>
    <t>Discounted Price</t>
  </si>
  <si>
    <t>AJPR001</t>
  </si>
  <si>
    <t>AJPR002</t>
  </si>
  <si>
    <t>AJPR003</t>
  </si>
  <si>
    <t>AJPR004</t>
  </si>
  <si>
    <t>AJPR005</t>
  </si>
  <si>
    <t>Blue Denim Jeans</t>
  </si>
  <si>
    <t>Floral Printed Dress</t>
  </si>
  <si>
    <t>Black Leather Jacket</t>
  </si>
  <si>
    <t>White Sneakers</t>
  </si>
  <si>
    <t>Sports T-Shirt</t>
  </si>
  <si>
    <t>Valid From</t>
  </si>
  <si>
    <t>Valid To</t>
  </si>
  <si>
    <t>Booking Time</t>
  </si>
  <si>
    <t>Booking Hour</t>
  </si>
  <si>
    <t>Investor Name</t>
  </si>
  <si>
    <t>Transaction Amount</t>
  </si>
  <si>
    <t>Valid Transaction?</t>
  </si>
  <si>
    <t>Sneha Sharma</t>
  </si>
  <si>
    <t>Ajay Singh</t>
  </si>
  <si>
    <t>Rahul Mehta</t>
  </si>
  <si>
    <t>Anjali Patel</t>
  </si>
  <si>
    <t>Vivek Anand</t>
  </si>
  <si>
    <t>Kavita Rao</t>
  </si>
  <si>
    <t>Order id</t>
  </si>
  <si>
    <t>Prooduct Category</t>
  </si>
  <si>
    <t>Order Value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</si>
  <si>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</si>
  <si>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</si>
  <si>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</si>
  <si>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</si>
  <si>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</si>
  <si>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</si>
  <si>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</si>
  <si>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</si>
  <si>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</si>
  <si>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</si>
  <si>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Clothing</t>
  </si>
  <si>
    <t>Product Category</t>
  </si>
  <si>
    <t>Minimum Order Value</t>
  </si>
  <si>
    <t>Package Id</t>
  </si>
  <si>
    <t>Package Code</t>
  </si>
  <si>
    <t>Updated Package Code</t>
  </si>
  <si>
    <t>IN-OLD-DELHI-2023</t>
  </si>
  <si>
    <t>IN-OLD-GOA-2023</t>
  </si>
  <si>
    <t>IN-OLD-MUMBAI-2023</t>
  </si>
  <si>
    <t>IN-OLD-KERALA-2023</t>
  </si>
  <si>
    <t>IN-OLD-AGRA-2023</t>
  </si>
  <si>
    <t xml:space="preserve"> Customer Id</t>
  </si>
  <si>
    <t>Number of Rides</t>
  </si>
  <si>
    <t>Qualifies for Ola Premium</t>
  </si>
  <si>
    <t>Total Spend Last 6  Months</t>
  </si>
  <si>
    <t>Sunil Rao</t>
  </si>
  <si>
    <t>Product Identifier</t>
  </si>
  <si>
    <t>Product Code</t>
  </si>
  <si>
    <t>Product Description</t>
  </si>
  <si>
    <t>12345-Milk</t>
  </si>
  <si>
    <t>67890-Bread</t>
  </si>
  <si>
    <t>11223-Eggs</t>
  </si>
  <si>
    <t>33445-Cheese</t>
  </si>
  <si>
    <t>55667-Vegetables</t>
  </si>
  <si>
    <t>77889-Fruits</t>
  </si>
  <si>
    <t>99000-Meat</t>
  </si>
  <si>
    <t>22334-Fish</t>
  </si>
  <si>
    <t>Table 1:Inventory Data</t>
  </si>
  <si>
    <t>Stock Level</t>
  </si>
  <si>
    <t>Blue Light Glasses</t>
  </si>
  <si>
    <t>Contact Lenses</t>
  </si>
  <si>
    <t>Sunglasses</t>
  </si>
  <si>
    <t>Reading Glasses</t>
  </si>
  <si>
    <t>Anti-Glare Glasses</t>
  </si>
  <si>
    <t>Eyewear</t>
  </si>
  <si>
    <t>Table 2:Sales Data</t>
  </si>
  <si>
    <t>Purchase Price of</t>
  </si>
  <si>
    <t>Total Sales Over 6 Months</t>
  </si>
  <si>
    <t>Sales of Product in Month</t>
  </si>
  <si>
    <t>Aviator</t>
  </si>
  <si>
    <t>Wayfarer</t>
  </si>
  <si>
    <t>Cat Eye</t>
  </si>
  <si>
    <t>Round</t>
  </si>
  <si>
    <t>Rectangle</t>
  </si>
  <si>
    <t>Inventory</t>
  </si>
  <si>
    <t>Total Sales</t>
  </si>
  <si>
    <t>Sales Revenue</t>
  </si>
  <si>
    <t>ProductId</t>
  </si>
  <si>
    <t>Category Number</t>
  </si>
  <si>
    <t>Aloe Vera Gel</t>
  </si>
  <si>
    <t>Neem Face Wash</t>
  </si>
  <si>
    <t>Onion Hair Oil</t>
  </si>
  <si>
    <t>Vitamin C Serum</t>
  </si>
  <si>
    <t>Anti-Pollution Crean</t>
  </si>
  <si>
    <t>Tea Tree Shampoo</t>
  </si>
  <si>
    <t>Charcoal Face Mask</t>
  </si>
  <si>
    <t>Onion Shampoo</t>
  </si>
  <si>
    <t>Ubtan Face Wash</t>
  </si>
  <si>
    <t>Argan Hair Mask</t>
  </si>
  <si>
    <t>Skincare</t>
  </si>
  <si>
    <t>Haircare</t>
  </si>
  <si>
    <t xml:space="preserve"> Toys</t>
  </si>
  <si>
    <t>Score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</si>
  <si>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</si>
  <si>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</si>
  <si>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</si>
  <si>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</si>
  <si>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</si>
  <si>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</si>
  <si>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</si>
  <si>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</si>
  <si>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</si>
  <si>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</si>
  <si>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</si>
  <si>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</si>
  <si>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</si>
  <si>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</si>
  <si>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</si>
  <si>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</si>
  <si>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</si>
  <si>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</si>
  <si>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</si>
  <si>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</si>
  <si>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First Quartile</t>
  </si>
  <si>
    <t>Second Quartile</t>
  </si>
  <si>
    <t>Third Quartile</t>
  </si>
  <si>
    <t>Redmi Note 10</t>
  </si>
  <si>
    <t>Mi Smart Band</t>
  </si>
  <si>
    <t>Boat Headphones</t>
  </si>
  <si>
    <t>HP Laptop</t>
  </si>
  <si>
    <t>Samsung Galaxy Tab</t>
  </si>
  <si>
    <t>Review ID</t>
  </si>
  <si>
    <t>Review Content</t>
  </si>
  <si>
    <t>"Great battery life and excellent camera quality"</t>
  </si>
  <si>
    <t>"Affordable and featured-packed fitness tracker"</t>
  </si>
  <si>
    <t>"Superb sound quality but a bit uncomfortable for long use"</t>
  </si>
  <si>
    <t>"Fast performance with a sleek design, but battery drains quickly"</t>
  </si>
  <si>
    <t>"Excellent display and battery lif, but a bit pricey"</t>
  </si>
  <si>
    <t>Keyword</t>
  </si>
  <si>
    <t>battery</t>
  </si>
  <si>
    <t>sound</t>
  </si>
  <si>
    <t>display</t>
  </si>
  <si>
    <t>fitness</t>
  </si>
  <si>
    <t>design</t>
  </si>
  <si>
    <t>Keyword found position</t>
  </si>
  <si>
    <t>Course ID</t>
  </si>
  <si>
    <t>Course Name</t>
  </si>
  <si>
    <t>Instructor ID</t>
  </si>
  <si>
    <t>C101</t>
  </si>
  <si>
    <t>C102</t>
  </si>
  <si>
    <t>C103</t>
  </si>
  <si>
    <t>C104</t>
  </si>
  <si>
    <t>C105</t>
  </si>
  <si>
    <t>Basic Math</t>
  </si>
  <si>
    <t>Advanced Physics</t>
  </si>
  <si>
    <t>Indian History</t>
  </si>
  <si>
    <t>English Literature</t>
  </si>
  <si>
    <t>Data Science Essentials</t>
  </si>
  <si>
    <t>I001</t>
  </si>
  <si>
    <t>I003</t>
  </si>
  <si>
    <t>I002</t>
  </si>
  <si>
    <t>I004</t>
  </si>
  <si>
    <t>I005</t>
  </si>
  <si>
    <t>Name</t>
  </si>
  <si>
    <t>Avg Rating</t>
  </si>
  <si>
    <t>Courses Taught</t>
  </si>
  <si>
    <t>Dr.Sharma</t>
  </si>
  <si>
    <t>Prof.Singh</t>
  </si>
  <si>
    <t>Dr.Verma</t>
  </si>
  <si>
    <t>Prof.Kapoor</t>
  </si>
  <si>
    <t>Dr.Mishra</t>
  </si>
  <si>
    <t>Total Enrollments</t>
  </si>
  <si>
    <t>Course Id</t>
  </si>
  <si>
    <t>Instructor Name</t>
  </si>
  <si>
    <t>Average Rating</t>
  </si>
  <si>
    <t>Stock Name</t>
  </si>
  <si>
    <t>Number of Share</t>
  </si>
  <si>
    <t>Stock price</t>
  </si>
  <si>
    <t>HCL Technologies</t>
  </si>
  <si>
    <t>Wipro</t>
  </si>
  <si>
    <t>Axis Bank</t>
  </si>
  <si>
    <t>Tech Mahindra</t>
  </si>
  <si>
    <t>Total Investment Value</t>
  </si>
  <si>
    <t>Average Stock Price</t>
  </si>
  <si>
    <t>Number of Stocks in Portfolio</t>
  </si>
  <si>
    <t>API Endpoint</t>
  </si>
  <si>
    <t>Response Interval 1 (ms)</t>
  </si>
  <si>
    <t>Response Interval 2 (ms)</t>
  </si>
  <si>
    <t>Response Interval 3 (ms)</t>
  </si>
  <si>
    <t>Response Interval 4 (ms)</t>
  </si>
  <si>
    <t>Response Interval 5 (ms)</t>
  </si>
  <si>
    <t>/data/delete</t>
  </si>
  <si>
    <t>/data/fetch</t>
  </si>
  <si>
    <t>/data/update</t>
  </si>
  <si>
    <t>/user/login</t>
  </si>
  <si>
    <t>/user/signup</t>
  </si>
  <si>
    <t>Max Response Time</t>
  </si>
  <si>
    <t>Max Response Cell</t>
  </si>
  <si>
    <t>Arrival Time</t>
  </si>
  <si>
    <t>Battery Level</t>
  </si>
  <si>
    <t>Charging Station</t>
  </si>
  <si>
    <t>Charging Duration</t>
  </si>
  <si>
    <t>Optimal Start Charging Time</t>
  </si>
  <si>
    <t>Charging Completion Time</t>
  </si>
  <si>
    <t>7/15/2024 20:30</t>
  </si>
  <si>
    <t>7/15/2024 18:00</t>
  </si>
  <si>
    <t>7/15/2024 15:45</t>
  </si>
  <si>
    <t>7/15/2024 12:30</t>
  </si>
  <si>
    <t>7/15/2024 10:00</t>
  </si>
  <si>
    <t>Boat Earphones</t>
  </si>
  <si>
    <t>Boat Speakers</t>
  </si>
  <si>
    <t>Boat Smartwatches</t>
  </si>
  <si>
    <t>Boat Soundbars</t>
  </si>
  <si>
    <t>Boat Chargers</t>
  </si>
  <si>
    <t>Boat Powerbarnks</t>
  </si>
  <si>
    <t>Boat Cables</t>
  </si>
  <si>
    <t>Boat Wireless Earbuds</t>
  </si>
  <si>
    <t>Boat Bluetooth Speakers</t>
  </si>
  <si>
    <t>Unit Price(INR)</t>
  </si>
  <si>
    <t>Remaining Inventory</t>
  </si>
  <si>
    <t>Cost per Unit</t>
  </si>
  <si>
    <t>Total Sales Revenue</t>
  </si>
  <si>
    <t>Weighted Average Cost per Unit</t>
  </si>
  <si>
    <t>Total Profit</t>
  </si>
  <si>
    <t xml:space="preserve">Rounded Profit Margin </t>
  </si>
  <si>
    <t>Loan Amount</t>
  </si>
  <si>
    <t>Interest Rate</t>
  </si>
  <si>
    <t>Tenure</t>
  </si>
  <si>
    <t>Status</t>
  </si>
  <si>
    <t>Total Interest</t>
  </si>
  <si>
    <t>Approval Status</t>
  </si>
  <si>
    <t>Approved and Above Avg</t>
  </si>
  <si>
    <t>City,Country</t>
  </si>
  <si>
    <t>Population</t>
  </si>
  <si>
    <t>Tokyo,JP</t>
  </si>
  <si>
    <t>Delhi,IN</t>
  </si>
  <si>
    <t>Shanghai,CN</t>
  </si>
  <si>
    <t>Sao Paulo,BR</t>
  </si>
  <si>
    <t>Mexico City,MX</t>
  </si>
  <si>
    <t>Dhaka,BD</t>
  </si>
  <si>
    <t>Cairo,EG</t>
  </si>
  <si>
    <t>Beijing,CN</t>
  </si>
  <si>
    <t>Mumbai,IN</t>
  </si>
  <si>
    <t>Osaka,JP</t>
  </si>
  <si>
    <t>Istanbul,TR</t>
  </si>
  <si>
    <t>Buenos Aires,AR</t>
  </si>
  <si>
    <t>Kolkata,IN</t>
  </si>
  <si>
    <t>Lagos,NG</t>
  </si>
  <si>
    <t>Manila,PH</t>
  </si>
  <si>
    <t>Tianjin,CN</t>
  </si>
  <si>
    <t>Guangzhou,CN</t>
  </si>
  <si>
    <t>Karachi,PK</t>
  </si>
  <si>
    <t>Chongquiing,CN</t>
  </si>
  <si>
    <t>Kinshaha,CD</t>
  </si>
  <si>
    <t>Country</t>
  </si>
  <si>
    <t>Tokyo</t>
  </si>
  <si>
    <t>JP</t>
  </si>
  <si>
    <t>IN</t>
  </si>
  <si>
    <t>Shanghai</t>
  </si>
  <si>
    <t>CN</t>
  </si>
  <si>
    <t>Sao Paulo</t>
  </si>
  <si>
    <t>BR</t>
  </si>
  <si>
    <t>Mexico City</t>
  </si>
  <si>
    <t>MX</t>
  </si>
  <si>
    <t>Dhaka</t>
  </si>
  <si>
    <t>BD</t>
  </si>
  <si>
    <t>Cairo</t>
  </si>
  <si>
    <t>EG</t>
  </si>
  <si>
    <t>Beijing</t>
  </si>
  <si>
    <t>Osaka</t>
  </si>
  <si>
    <t>Karachi</t>
  </si>
  <si>
    <t>PK</t>
  </si>
  <si>
    <t>Chongquiing</t>
  </si>
  <si>
    <t>Istanbul</t>
  </si>
  <si>
    <t>TR</t>
  </si>
  <si>
    <t>Buenos Aires</t>
  </si>
  <si>
    <t>AR</t>
  </si>
  <si>
    <t>Kinshaha</t>
  </si>
  <si>
    <t>CD</t>
  </si>
  <si>
    <t>Lagos</t>
  </si>
  <si>
    <t>NG</t>
  </si>
  <si>
    <t>Manila</t>
  </si>
  <si>
    <t>PH</t>
  </si>
  <si>
    <t>Tianjin</t>
  </si>
  <si>
    <t>Guangzhou</t>
  </si>
  <si>
    <t>Employee Name</t>
  </si>
  <si>
    <t>Department</t>
  </si>
  <si>
    <t>Tenure (Years)</t>
  </si>
  <si>
    <t>Vactaion Days (Remaining)</t>
  </si>
  <si>
    <t>Request Status</t>
  </si>
  <si>
    <t>Accounts</t>
  </si>
  <si>
    <t>Human Resources</t>
  </si>
  <si>
    <t>IT</t>
  </si>
  <si>
    <t>Maintenance</t>
  </si>
  <si>
    <t>Carter Clark</t>
  </si>
  <si>
    <t>Lisa Loeb</t>
  </si>
  <si>
    <t>Brandon Butler</t>
  </si>
  <si>
    <t>Ingrid Isaacs</t>
  </si>
  <si>
    <t>Kelly Kong</t>
  </si>
  <si>
    <t>Jaime Johnson</t>
  </si>
  <si>
    <t>Andrea Atkins</t>
  </si>
  <si>
    <t>Dante Dennis</t>
  </si>
  <si>
    <t>Greg Gunther</t>
  </si>
  <si>
    <t>Harold Hemsworth</t>
  </si>
  <si>
    <t>Farrah Falconi</t>
  </si>
  <si>
    <t>Evadne Erskine</t>
  </si>
  <si>
    <t>Vacation Days Left</t>
  </si>
  <si>
    <t>Type 1</t>
  </si>
  <si>
    <t>Speed</t>
  </si>
  <si>
    <t>Bulbasur</t>
  </si>
  <si>
    <t>Ivysaur</t>
  </si>
  <si>
    <t>Venusaur</t>
  </si>
  <si>
    <t>Charmander</t>
  </si>
  <si>
    <t>Charmelon</t>
  </si>
  <si>
    <t>Squirtle</t>
  </si>
  <si>
    <t>Wartotle</t>
  </si>
  <si>
    <t>Water</t>
  </si>
  <si>
    <t>Grass</t>
  </si>
  <si>
    <t>Fire</t>
  </si>
  <si>
    <t>Charizard</t>
  </si>
  <si>
    <t>Blastoise</t>
  </si>
  <si>
    <t>Fire Type And more than 70 speed</t>
  </si>
  <si>
    <t>Water Type or more than 60 defense</t>
  </si>
  <si>
    <t>Total</t>
  </si>
  <si>
    <t>Grass Type</t>
  </si>
  <si>
    <t>More than 500 Total Stats</t>
  </si>
  <si>
    <t>Speed Category</t>
  </si>
  <si>
    <t>Cash Flow</t>
  </si>
  <si>
    <t xml:space="preserve">Discount Rate </t>
  </si>
  <si>
    <t>NPV</t>
  </si>
  <si>
    <t>Caterpie</t>
  </si>
  <si>
    <t>Metapod</t>
  </si>
  <si>
    <t>Butterfree</t>
  </si>
  <si>
    <t>Weedle</t>
  </si>
  <si>
    <t>Kakuna</t>
  </si>
  <si>
    <t>Beedrill</t>
  </si>
  <si>
    <t>Pidgey</t>
  </si>
  <si>
    <t>Pidgeotto</t>
  </si>
  <si>
    <t>Pidgeot</t>
  </si>
  <si>
    <t>Raticate</t>
  </si>
  <si>
    <t>Rattata</t>
  </si>
  <si>
    <t>Bug</t>
  </si>
  <si>
    <t>Normal</t>
  </si>
  <si>
    <t>Type 2</t>
  </si>
  <si>
    <t>Poison</t>
  </si>
  <si>
    <t>Flying</t>
  </si>
  <si>
    <t>Search ID#</t>
  </si>
  <si>
    <t>ID#</t>
  </si>
  <si>
    <t>Either Fire Type or less than 60 hp</t>
  </si>
  <si>
    <t>Spearow</t>
  </si>
  <si>
    <t>Fearow</t>
  </si>
  <si>
    <t>STDEV.P</t>
  </si>
  <si>
    <t>STDEV.S</t>
  </si>
  <si>
    <t>Roll No</t>
  </si>
  <si>
    <t>Student Name</t>
  </si>
  <si>
    <t>Hindi</t>
  </si>
  <si>
    <t>English</t>
  </si>
  <si>
    <t>Math</t>
  </si>
  <si>
    <t>Physics</t>
  </si>
  <si>
    <t>Chemistry</t>
  </si>
  <si>
    <t>Ram</t>
  </si>
  <si>
    <t>Ashok</t>
  </si>
  <si>
    <t>Manoj</t>
  </si>
  <si>
    <t>Rajesh</t>
  </si>
  <si>
    <t>Ranjana</t>
  </si>
  <si>
    <t>Pooja</t>
  </si>
  <si>
    <t>Mahesh</t>
  </si>
  <si>
    <t>Ashutosh</t>
  </si>
  <si>
    <t>Anil</t>
  </si>
  <si>
    <t>Prem</t>
  </si>
  <si>
    <t>A grade Count</t>
  </si>
  <si>
    <t>B Grade Count</t>
  </si>
  <si>
    <t>Count How many Students are there</t>
  </si>
  <si>
    <t>Student Ashok and Manoj Total No and Average</t>
  </si>
  <si>
    <t>How Many Students have Hindi &amp; English Subject Number Greater Than &gt; 20 and &lt; 15</t>
  </si>
  <si>
    <t>SRNO</t>
  </si>
  <si>
    <t>ITEMS</t>
  </si>
  <si>
    <t>QTY</t>
  </si>
  <si>
    <t>RATE</t>
  </si>
  <si>
    <t>GRADE</t>
  </si>
  <si>
    <t>AMOUNT</t>
  </si>
  <si>
    <t>AC</t>
  </si>
  <si>
    <t>FRIDGE</t>
  </si>
  <si>
    <t>COOLER</t>
  </si>
  <si>
    <t>WASHING MACHINE</t>
  </si>
  <si>
    <t>TV</t>
  </si>
  <si>
    <t>FAN</t>
  </si>
  <si>
    <t>COMPUTER</t>
  </si>
  <si>
    <t>KEYBOARD</t>
  </si>
  <si>
    <t>MOUSE</t>
  </si>
  <si>
    <t>PRINTER</t>
  </si>
  <si>
    <t>How many items are there in a List</t>
  </si>
  <si>
    <t>Calculate Item Computer Qty,Rate and Amount using Sumif</t>
  </si>
  <si>
    <t>nd less than 20</t>
  </si>
  <si>
    <t>How many Items qty Greater than 20</t>
  </si>
  <si>
    <t>Subject</t>
  </si>
  <si>
    <t>1st</t>
  </si>
  <si>
    <t>2nd</t>
  </si>
  <si>
    <t>3rd</t>
  </si>
  <si>
    <t>HINDI</t>
  </si>
  <si>
    <t>ENGLISH</t>
  </si>
  <si>
    <t>MATH</t>
  </si>
  <si>
    <t>PHYSICS</t>
  </si>
  <si>
    <t>CHEMISTRY</t>
  </si>
  <si>
    <t>HISTORY</t>
  </si>
  <si>
    <t>GEO</t>
  </si>
  <si>
    <t>BIO</t>
  </si>
  <si>
    <t>BOTANY</t>
  </si>
  <si>
    <t>How many Subjects are there</t>
  </si>
  <si>
    <t>How many Subject 1 Paper &gt; 20</t>
  </si>
  <si>
    <t>NAME</t>
  </si>
  <si>
    <t>DEPARTMENT</t>
  </si>
  <si>
    <t>RAM</t>
  </si>
  <si>
    <t>SHYAM</t>
  </si>
  <si>
    <t>MANOJ</t>
  </si>
  <si>
    <t>POOJA</t>
  </si>
  <si>
    <t>RAHUL</t>
  </si>
  <si>
    <t>RAKESH</t>
  </si>
  <si>
    <t>ASHISH</t>
  </si>
  <si>
    <t>MANISH</t>
  </si>
  <si>
    <t>ELECTRICAL</t>
  </si>
  <si>
    <t>FINANCE</t>
  </si>
  <si>
    <t>POST</t>
  </si>
  <si>
    <t>BASIC</t>
  </si>
  <si>
    <t>DA 2.5%</t>
  </si>
  <si>
    <t>HRA 3.5%</t>
  </si>
  <si>
    <t>PF 1.5%</t>
  </si>
  <si>
    <t>TOTAL</t>
  </si>
  <si>
    <t>MANAGER</t>
  </si>
  <si>
    <t>SUPERVISOR</t>
  </si>
  <si>
    <t>PION</t>
  </si>
  <si>
    <t>GUARD</t>
  </si>
  <si>
    <t>CASHER</t>
  </si>
  <si>
    <t>ACCOUNTANT</t>
  </si>
  <si>
    <t>Post</t>
  </si>
  <si>
    <t>SALESMAN</t>
  </si>
  <si>
    <t>JAN</t>
  </si>
  <si>
    <t>FEB</t>
  </si>
  <si>
    <t>MAR</t>
  </si>
  <si>
    <t>APR</t>
  </si>
  <si>
    <t>MAY</t>
  </si>
  <si>
    <t>JUN</t>
  </si>
  <si>
    <t>SALES</t>
  </si>
  <si>
    <t>RAMESH</t>
  </si>
  <si>
    <t>ASHOK</t>
  </si>
  <si>
    <t>AJEET</t>
  </si>
  <si>
    <t>ALOK</t>
  </si>
  <si>
    <t>AMRIT</t>
  </si>
  <si>
    <t>SURENDRA</t>
  </si>
  <si>
    <t>SHASHI</t>
  </si>
  <si>
    <t>TARGET</t>
  </si>
  <si>
    <t>RESULT</t>
  </si>
  <si>
    <t>How many Employee is Manager and Guard</t>
  </si>
  <si>
    <t>Target</t>
  </si>
  <si>
    <t>Result</t>
  </si>
  <si>
    <t>Count of no of salesman achieveing the target</t>
  </si>
  <si>
    <t>DATE</t>
  </si>
  <si>
    <t>COST</t>
  </si>
  <si>
    <t>WINDOW</t>
  </si>
  <si>
    <t>TYRES</t>
  </si>
  <si>
    <t>BRAKES</t>
  </si>
  <si>
    <t>CLUTCH</t>
  </si>
  <si>
    <t>SERVICE</t>
  </si>
  <si>
    <t>How many Items are there</t>
  </si>
  <si>
    <t>How many brake,window and tyres have been boughts</t>
  </si>
  <si>
    <t>How many Items Cost is &gt;1000 and below &gt;=1000</t>
  </si>
  <si>
    <t>Total Cost of Window and Brake Items</t>
  </si>
  <si>
    <t>Highlight Tyre Items Between 500 and 2000 Cost</t>
  </si>
  <si>
    <t>Items Column is 15,18 and 20 Items Name</t>
  </si>
  <si>
    <t>DATE OF BIRTH</t>
  </si>
  <si>
    <t>DAY</t>
  </si>
  <si>
    <t>MONTH</t>
  </si>
  <si>
    <t>YEAR</t>
  </si>
  <si>
    <t>How many Students are there</t>
  </si>
  <si>
    <t>Student Surendra is how many years old</t>
  </si>
  <si>
    <t>Employee ID</t>
  </si>
  <si>
    <t>Full Name</t>
  </si>
  <si>
    <t>SSN</t>
  </si>
  <si>
    <t>Earnings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</si>
  <si>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</si>
  <si>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</si>
  <si>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</si>
  <si>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</si>
  <si>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</si>
  <si>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</si>
  <si>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</si>
  <si>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</si>
  <si>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</si>
  <si>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</si>
  <si>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</si>
  <si>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</si>
  <si>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Faith K.Macias</t>
  </si>
  <si>
    <t>Blaze V. Bridges</t>
  </si>
  <si>
    <t>Lucian Q. Franklin</t>
  </si>
  <si>
    <t>Denton Q.Dale</t>
  </si>
  <si>
    <t>Blossom K.Fox</t>
  </si>
  <si>
    <t>Melanie X. Baker</t>
  </si>
  <si>
    <t>Kerry V. David</t>
  </si>
  <si>
    <t>Adele M. Fulton</t>
  </si>
  <si>
    <t>Justina O. Jensen</t>
  </si>
  <si>
    <t>Yoshi J. England</t>
  </si>
  <si>
    <t>Brooke Y. Mccarty</t>
  </si>
  <si>
    <t>Kay G. Colon</t>
  </si>
  <si>
    <t>845-04-3962</t>
  </si>
  <si>
    <t>345-28-4935</t>
  </si>
  <si>
    <t>503-53-8350</t>
  </si>
  <si>
    <t>858-39-7967</t>
  </si>
  <si>
    <t>245-18-5890</t>
  </si>
  <si>
    <t>873-45-8675</t>
  </si>
  <si>
    <t>190-08-3679</t>
  </si>
  <si>
    <t>352-36-9653</t>
  </si>
  <si>
    <t>645-74-0451</t>
  </si>
  <si>
    <t>558-53-1475</t>
  </si>
  <si>
    <t>129-42-6148</t>
  </si>
  <si>
    <t>796-50-4767</t>
  </si>
  <si>
    <t>EMP013</t>
  </si>
  <si>
    <t>EMP014</t>
  </si>
  <si>
    <t>266-48-1339</t>
  </si>
  <si>
    <t>663-00-3285</t>
  </si>
  <si>
    <t>Zachery O.Mann</t>
  </si>
  <si>
    <t>Callie I.Forbes</t>
  </si>
  <si>
    <t>Marketing</t>
  </si>
  <si>
    <t>IT/IS</t>
  </si>
  <si>
    <t>Engineering</t>
  </si>
  <si>
    <t>Finance</t>
  </si>
  <si>
    <t>How many employees are there in a list</t>
  </si>
  <si>
    <t>How many employees work in Finance and Marketing Department</t>
  </si>
  <si>
    <t>How many amount earnings marketing department</t>
  </si>
  <si>
    <t xml:space="preserve">SSN </t>
  </si>
  <si>
    <t>Apples</t>
  </si>
  <si>
    <t>Grapefruit</t>
  </si>
  <si>
    <t>Lemons</t>
  </si>
  <si>
    <t>Lime</t>
  </si>
  <si>
    <t>Oranges</t>
  </si>
  <si>
    <t>Peaches</t>
  </si>
  <si>
    <t>Pineapples</t>
  </si>
  <si>
    <t>Pears</t>
  </si>
  <si>
    <t>How Many Fruits</t>
  </si>
  <si>
    <t>Fruits</t>
  </si>
  <si>
    <t>Gender</t>
  </si>
  <si>
    <t>Richard</t>
  </si>
  <si>
    <t>Jennifer</t>
  </si>
  <si>
    <t>James</t>
  </si>
  <si>
    <t>Lisa</t>
  </si>
  <si>
    <t>Sharon</t>
  </si>
  <si>
    <t>Elizabeth</t>
  </si>
  <si>
    <t>Carol</t>
  </si>
  <si>
    <t>Mark</t>
  </si>
  <si>
    <t>John</t>
  </si>
  <si>
    <t>Susan</t>
  </si>
  <si>
    <t>David</t>
  </si>
  <si>
    <t>Male</t>
  </si>
  <si>
    <t>Female</t>
  </si>
  <si>
    <t>United States</t>
  </si>
  <si>
    <t>United Kingdom</t>
  </si>
  <si>
    <t>Canada</t>
  </si>
  <si>
    <t>Australia</t>
  </si>
  <si>
    <t>How Many Male and Female Candiate in a List</t>
  </si>
  <si>
    <t>How many employees are  there in United States</t>
  </si>
  <si>
    <t>ID</t>
  </si>
  <si>
    <t>Brand</t>
  </si>
  <si>
    <t>Dell</t>
  </si>
  <si>
    <t>Logitech</t>
  </si>
  <si>
    <t>HP</t>
  </si>
  <si>
    <t>Printer</t>
  </si>
  <si>
    <t>Mouse</t>
  </si>
  <si>
    <t>Keyboard</t>
  </si>
  <si>
    <t>Computer</t>
  </si>
  <si>
    <t xml:space="preserve">East </t>
  </si>
  <si>
    <t>Emp Name</t>
  </si>
  <si>
    <t>Raju</t>
  </si>
  <si>
    <t>Ramesh</t>
  </si>
  <si>
    <t>Ramila</t>
  </si>
  <si>
    <t>Rajeshwari</t>
  </si>
  <si>
    <t>Karan</t>
  </si>
  <si>
    <t>Rohith</t>
  </si>
  <si>
    <t>Jacob</t>
  </si>
  <si>
    <t>Fleming</t>
  </si>
  <si>
    <t>Navya</t>
  </si>
  <si>
    <t>Kavya</t>
  </si>
  <si>
    <t>Santosh</t>
  </si>
  <si>
    <t>Shankar</t>
  </si>
  <si>
    <t>Nagaraj</t>
  </si>
  <si>
    <t>Hemaraj</t>
  </si>
  <si>
    <t>Johnson</t>
  </si>
  <si>
    <t>Anderson</t>
  </si>
  <si>
    <t>Peter</t>
  </si>
  <si>
    <t>Salary</t>
  </si>
  <si>
    <t>Emp ID</t>
  </si>
  <si>
    <t>Operations</t>
  </si>
  <si>
    <t>HR</t>
  </si>
  <si>
    <t>Prd001</t>
  </si>
  <si>
    <t>Prd002</t>
  </si>
  <si>
    <t>Prd003</t>
  </si>
  <si>
    <t>Prd004</t>
  </si>
  <si>
    <t>Prd005</t>
  </si>
  <si>
    <t>Prd006</t>
  </si>
  <si>
    <t>Prd007</t>
  </si>
  <si>
    <t>Prd008</t>
  </si>
  <si>
    <t>Prd009</t>
  </si>
  <si>
    <t>Prd010</t>
  </si>
  <si>
    <t>Prd011</t>
  </si>
  <si>
    <t>Prd012</t>
  </si>
  <si>
    <t>Prd013</t>
  </si>
  <si>
    <t>Prd014</t>
  </si>
  <si>
    <t>Prd015</t>
  </si>
  <si>
    <t>Prd016</t>
  </si>
  <si>
    <t>Prd017</t>
  </si>
  <si>
    <t>Prd018</t>
  </si>
  <si>
    <t>Prd019</t>
  </si>
  <si>
    <t>Prd020</t>
  </si>
  <si>
    <t>How many employee in work HR,IT,Marketing Department</t>
  </si>
  <si>
    <t>Employee Santosh Salary</t>
  </si>
  <si>
    <t>IT and Marketing Department  Total Salary</t>
  </si>
  <si>
    <t>NITIN</t>
  </si>
  <si>
    <t>FEROZ</t>
  </si>
  <si>
    <t>ANITHA</t>
  </si>
  <si>
    <t>MADAN</t>
  </si>
  <si>
    <t>HARRY</t>
  </si>
  <si>
    <t>SUMITH</t>
  </si>
  <si>
    <t>HARSH</t>
  </si>
  <si>
    <t>MATHS</t>
  </si>
  <si>
    <t>BIOLOGY</t>
  </si>
  <si>
    <t>PASS</t>
  </si>
  <si>
    <t>FAIL</t>
  </si>
  <si>
    <t>Passed The Exam?</t>
  </si>
  <si>
    <t>TRIVEDI</t>
  </si>
  <si>
    <t>Emp Id</t>
  </si>
  <si>
    <t>D21</t>
  </si>
  <si>
    <t>D22</t>
  </si>
  <si>
    <t>D23</t>
  </si>
  <si>
    <t>D24</t>
  </si>
  <si>
    <t>D25</t>
  </si>
  <si>
    <t>D26</t>
  </si>
  <si>
    <t>First Name</t>
  </si>
  <si>
    <t>Last Name</t>
  </si>
  <si>
    <t>Vishal</t>
  </si>
  <si>
    <t>Mohan</t>
  </si>
  <si>
    <t>Mathew</t>
  </si>
  <si>
    <t>Jamemah</t>
  </si>
  <si>
    <t>Powel</t>
  </si>
  <si>
    <t>Arundathi</t>
  </si>
  <si>
    <t>Swaminathan</t>
  </si>
  <si>
    <t>Potter</t>
  </si>
  <si>
    <t>Roger</t>
  </si>
  <si>
    <t>Williams</t>
  </si>
  <si>
    <t>Designation</t>
  </si>
  <si>
    <t>KRA</t>
  </si>
  <si>
    <t>PHP</t>
  </si>
  <si>
    <t>JAVA</t>
  </si>
  <si>
    <t>MAILS</t>
  </si>
  <si>
    <t>C++</t>
  </si>
  <si>
    <t>DOT NET</t>
  </si>
  <si>
    <t>TESTING</t>
  </si>
  <si>
    <t>SERVER</t>
  </si>
  <si>
    <t>AMAZON</t>
  </si>
  <si>
    <t>GROFFERS</t>
  </si>
  <si>
    <t>PAYTM</t>
  </si>
  <si>
    <t>MYNTRA</t>
  </si>
  <si>
    <t>ARUN</t>
  </si>
  <si>
    <t>BISWAS</t>
  </si>
  <si>
    <t>DINESH</t>
  </si>
  <si>
    <t>ESHWAR</t>
  </si>
  <si>
    <t>FAHAD</t>
  </si>
  <si>
    <t>GANGA</t>
  </si>
  <si>
    <t>HEMA</t>
  </si>
  <si>
    <t>FARZANA</t>
  </si>
  <si>
    <t>VISHAL</t>
  </si>
  <si>
    <t>VISHNU</t>
  </si>
  <si>
    <t>KRISHNA</t>
  </si>
  <si>
    <t>AYESH</t>
  </si>
  <si>
    <t>PRAVEEN</t>
  </si>
  <si>
    <t>ABHISHEK</t>
  </si>
  <si>
    <t>FARZANA BABU</t>
  </si>
  <si>
    <t>MIS-OPERATION</t>
  </si>
  <si>
    <t>OPERATION</t>
  </si>
  <si>
    <t>SOFTWARE ENG</t>
  </si>
  <si>
    <t>SME</t>
  </si>
  <si>
    <t>PROGRAMMER</t>
  </si>
  <si>
    <t>SOFTWARE ASSOCIATE</t>
  </si>
  <si>
    <t>NETWORK ENG</t>
  </si>
  <si>
    <t>SALES EXECUTIVE</t>
  </si>
  <si>
    <t>How Many Employees</t>
  </si>
  <si>
    <t>How Many Employees In Sales Executive</t>
  </si>
  <si>
    <t>How Many Employees In Sales Executive in Amzone and Myntra</t>
  </si>
  <si>
    <t>Location</t>
  </si>
  <si>
    <t xml:space="preserve">Donald </t>
  </si>
  <si>
    <t>Samuel</t>
  </si>
  <si>
    <t>Ian</t>
  </si>
  <si>
    <t>Henry</t>
  </si>
  <si>
    <t>Ronica</t>
  </si>
  <si>
    <t>Christine</t>
  </si>
  <si>
    <t>Andrew</t>
  </si>
  <si>
    <t>Erica</t>
  </si>
  <si>
    <t>Patrick</t>
  </si>
  <si>
    <t>Samson</t>
  </si>
  <si>
    <t>Smith</t>
  </si>
  <si>
    <t>Madrid</t>
  </si>
  <si>
    <t>Brave</t>
  </si>
  <si>
    <t>Salvi</t>
  </si>
  <si>
    <t>Baisley</t>
  </si>
  <si>
    <t>Irons</t>
  </si>
  <si>
    <t>Maths</t>
  </si>
  <si>
    <t>Percentage</t>
  </si>
  <si>
    <t>Alan</t>
  </si>
  <si>
    <t>Bob</t>
  </si>
  <si>
    <t>Eric</t>
  </si>
  <si>
    <t>Fried</t>
  </si>
  <si>
    <t>Gail</t>
  </si>
  <si>
    <t>Harry</t>
  </si>
  <si>
    <t>Janice</t>
  </si>
  <si>
    <t>oor</t>
  </si>
  <si>
    <t>Absent</t>
  </si>
  <si>
    <t>How many Student</t>
  </si>
  <si>
    <t>How many Student Percentage greater than 50</t>
  </si>
  <si>
    <t>Student Bob and Eric Total Number</t>
  </si>
  <si>
    <t>How many student good and bad are there in this list</t>
  </si>
  <si>
    <t>F</t>
  </si>
  <si>
    <t>Average of B</t>
  </si>
  <si>
    <t>Average of D</t>
  </si>
  <si>
    <t>Average of C</t>
  </si>
  <si>
    <t>Average of A</t>
  </si>
  <si>
    <t>Student</t>
  </si>
  <si>
    <t>gary</t>
  </si>
  <si>
    <t>Richa</t>
  </si>
  <si>
    <t>Tom</t>
  </si>
  <si>
    <t>Hari</t>
  </si>
  <si>
    <t>Will</t>
  </si>
  <si>
    <t>Semester</t>
  </si>
  <si>
    <t>second</t>
  </si>
  <si>
    <t>Third</t>
  </si>
  <si>
    <t>Second</t>
  </si>
  <si>
    <t>Average of Semester Score</t>
  </si>
  <si>
    <t>Zone</t>
  </si>
  <si>
    <t>Patna</t>
  </si>
  <si>
    <t>Kanpur</t>
  </si>
  <si>
    <t>Gandhinagar</t>
  </si>
  <si>
    <t>Hubli</t>
  </si>
  <si>
    <t>Mangalore</t>
  </si>
  <si>
    <t>Chandigarh</t>
  </si>
  <si>
    <t>Meerut</t>
  </si>
  <si>
    <t>Nagpur</t>
  </si>
  <si>
    <t>Average of West Zone</t>
  </si>
  <si>
    <t>Average of East Zone</t>
  </si>
  <si>
    <t>Average of North Zone</t>
  </si>
  <si>
    <t>Average of South Zone</t>
  </si>
  <si>
    <t>Average  of Units Sold above 250</t>
  </si>
  <si>
    <t>Avergae of Units Sold below 100</t>
  </si>
  <si>
    <t>Emp</t>
  </si>
  <si>
    <t>Dept</t>
  </si>
  <si>
    <t>Incentive</t>
  </si>
  <si>
    <t>Bonus</t>
  </si>
  <si>
    <t>TA</t>
  </si>
  <si>
    <t>Raja</t>
  </si>
  <si>
    <t>Suman</t>
  </si>
  <si>
    <t>Beena</t>
  </si>
  <si>
    <t>Seema</t>
  </si>
  <si>
    <t>Julie</t>
  </si>
  <si>
    <t>Neena</t>
  </si>
  <si>
    <t>Pankaj</t>
  </si>
  <si>
    <t>Andre</t>
  </si>
  <si>
    <t>Sujay</t>
  </si>
  <si>
    <t>Shilpa</t>
  </si>
  <si>
    <t>Meera</t>
  </si>
  <si>
    <t>Sheetal</t>
  </si>
  <si>
    <t>K.Sita</t>
  </si>
  <si>
    <t>Aalok</t>
  </si>
  <si>
    <t>Aakash</t>
  </si>
  <si>
    <t>Parvati</t>
  </si>
  <si>
    <t>Mktg</t>
  </si>
  <si>
    <t>R&amp;D</t>
  </si>
  <si>
    <t>Director</t>
  </si>
  <si>
    <t>Admin</t>
  </si>
  <si>
    <t>CCD</t>
  </si>
  <si>
    <t>north</t>
  </si>
  <si>
    <t>east</t>
  </si>
  <si>
    <t>west</t>
  </si>
  <si>
    <t>south</t>
  </si>
  <si>
    <t>How many employee are there in sales and mktg department</t>
  </si>
  <si>
    <t>How many salary in sales department</t>
  </si>
  <si>
    <t>How many employee department sales ,North Region Salary</t>
  </si>
  <si>
    <t>How many employee department sales and Region North</t>
  </si>
  <si>
    <t>If Salary Greater Than 15000 "A",If salary Greater than 10000 "B" otherwise "C"</t>
  </si>
  <si>
    <t>OrderId</t>
  </si>
  <si>
    <t>Amount</t>
  </si>
  <si>
    <t>Carrots</t>
  </si>
  <si>
    <t>Broccoli</t>
  </si>
  <si>
    <t>Banana</t>
  </si>
  <si>
    <t>Beans</t>
  </si>
  <si>
    <t>Orange</t>
  </si>
  <si>
    <t>Apple</t>
  </si>
  <si>
    <t>Vegetables</t>
  </si>
  <si>
    <t>Fruit</t>
  </si>
  <si>
    <t>Germany</t>
  </si>
  <si>
    <t>New Zealand</t>
  </si>
  <si>
    <t>France</t>
  </si>
  <si>
    <t>Mango</t>
  </si>
  <si>
    <t>How many Fruit and Vegetables Items  in a list</t>
  </si>
  <si>
    <t>Total Apple and Banana Amount</t>
  </si>
  <si>
    <t>How many products are there in a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</si>
</sst>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₹&quot;\ #,##0.00;[Red]&quot;₹&quot;\ \-#,##0.00"/>
    <numFmt numFmtId="164" formatCode="hh:mm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D3134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Font="1"/>
    <xf numFmtId="0" fontId="2" fillId="0" borderId="0" xfId="0" applyFont="1"/>
    <xf numFmtId="3" fontId="0" fillId="0" borderId="0" xfId="0" applyNumberFormat="1"/>
    <xf numFmtId="2" fontId="0" fillId="0" borderId="0" xfId="0" applyNumberFormat="1"/>
    <xf numFmtId="0" fontId="0" fillId="0" borderId="0" xfId="0" applyAlignment="1">
      <alignment vertical="center" wrapText="1"/>
    </xf>
    <xf numFmtId="164" fontId="0" fillId="0" borderId="0" xfId="0" applyNumberFormat="1"/>
    <xf numFmtId="49" fontId="0" fillId="0" borderId="0" xfId="0" applyNumberFormat="1"/>
    <xf numFmtId="14" fontId="0" fillId="0" borderId="0" xfId="0" applyNumberFormat="1"/>
    <xf numFmtId="0" fontId="3" fillId="0" borderId="0" xfId="1"/>
    <xf numFmtId="1" fontId="0" fillId="0" borderId="0" xfId="0" applyNumberFormat="1"/>
    <xf numFmtId="22" fontId="0" fillId="0" borderId="0" xfId="0" applyNumberFormat="1"/>
    <xf numFmtId="9" fontId="0" fillId="0" borderId="0" xfId="0" applyNumberFormat="1"/>
    <xf numFmtId="10" fontId="0" fillId="0" borderId="0" xfId="0" applyNumberFormat="1"/>
    <xf numFmtId="15" fontId="0" fillId="0" borderId="0" xfId="0" applyNumberFormat="1"/>
    <xf numFmtId="18" fontId="0" fillId="0" borderId="0" xfId="0" applyNumberFormat="1"/>
    <xf numFmtId="0" fontId="0" fillId="0" borderId="0" xfId="0" applyNumberFormat="1"/>
    <xf numFmtId="8" fontId="0" fillId="0" borderId="0" xfId="0" applyNumberFormat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styles" Target="styles.xml"/><Relationship Id="rId10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theme" Target="theme/theme1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mailto:j.ohndoe@gmail.com" TargetMode="External"/><Relationship Id="rId2" Type="http://schemas.openxmlformats.org/officeDocument/2006/relationships/hyperlink" Target="mailto:jane.smith@gmail.com" TargetMode="External"/><Relationship Id="rId1" Type="http://schemas.openxmlformats.org/officeDocument/2006/relationships/hyperlink" Target="mailto:john.doe@gmail.com" TargetMode="External"/><Relationship Id="rId5" Type="http://schemas.openxmlformats.org/officeDocument/2006/relationships/hyperlink" Target="mailto:mark.parker@yahoo.com" TargetMode="External"/><Relationship Id="rId4" Type="http://schemas.openxmlformats.org/officeDocument/2006/relationships/hyperlink" Target="mailto:jan.e.sm.ith@gmail.com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A8"/>
  <sheetViews>
    <sheetView workbookViewId="0">
      <selection activeCell="B9" sqref="B9"/>
    </sheetView>
  </sheetViews>
  <sheetFormatPr defaultRowHeight="15" x14ac:dyDescent="0.25"/>
  <cols>
    <col min="4" max="4" width="14.5703125" customWidth="1"/>
  </cols>
  <sheetData>
    <row r="3" spans="1:27" x14ac:dyDescent="0.25">
      <c r="A3" s="1" t="s">
        <v>0</v>
      </c>
      <c r="B3" s="1" t="s">
        <v>1</v>
      </c>
      <c r="C3" s="1" t="s">
        <v>2</v>
      </c>
      <c r="D3" s="1" t="s">
        <v>3</v>
      </c>
      <c r="F3" s="3" t="s">
        <v>14</v>
      </c>
      <c r="G3" s="4" t="s">
        <v>15</v>
      </c>
      <c r="H3" s="5" t="s">
        <v>16</v>
      </c>
      <c r="I3" s="6" t="s">
        <v>17</v>
      </c>
      <c r="J3" s="7" t="s">
        <v>18</v>
      </c>
      <c r="K3" s="8" t="s">
        <v>19</v>
      </c>
      <c r="L3" s="9" t="s">
        <v>20</v>
      </c>
      <c r="M3" s="10" t="s">
        <v>21</v>
      </c>
      <c r="N3" s="11" t="s">
        <v>22</v>
      </c>
      <c r="O3" s="12" t="s">
        <v>23</v>
      </c>
      <c r="P3" s="13" t="s">
        <v>24</v>
      </c>
      <c r="Q3" s="14" t="s">
        <v>25</v>
      </c>
      <c r="R3" s="15" t="s">
        <v>26</v>
      </c>
      <c r="S3" s="16" t="s">
        <v>27</v>
      </c>
      <c r="T3" s="18" t="s">
        <v>28</v>
      </c>
      <c r="U3" s="18" t="s">
        <v>29</v>
      </c>
      <c r="V3" s="18" t="s">
        <v>30</v>
      </c>
      <c r="W3" s="17"/>
      <c r="X3" s="17"/>
      <c r="Y3" s="17"/>
      <c r="Z3" s="17"/>
      <c r="AA3" s="17"/>
    </row>
    <row r="4" spans="1:27" x14ac:dyDescent="0.25">
      <c r="A4" s="2" t="s">
        <v>4</v>
      </c>
      <c r="B4" s="2">
        <v>120</v>
      </c>
      <c r="C4" s="2" t="s">
        <v>5</v>
      </c>
      <c r="D4" s="2" t="s">
        <v>6</v>
      </c>
      <c r="F4" t="b">
        <f>IF(B4&gt;100,TRUE,FALSE)</f>
        <v>1</v>
      </c>
      <c r="G4" t="b">
        <f>IF(C4="East",TRUE,FALSE)</f>
        <v>1</v>
      </c>
      <c r="H4" t="b">
        <f>IF(AND(B4&gt;100, C4="East"), TRUE, FALSE)</f>
        <v>1</v>
      </c>
      <c r="I4" s="6" t="b">
        <f>IF(OR(B4&lt;100, C4="West"), TRUE, FALSE)</f>
        <v>0</v>
      </c>
      <c r="J4" t="b">
        <f>IF(AND(B4&gt;100,B4&lt;200),TRUE,FALSE)</f>
        <v>1</v>
      </c>
      <c r="K4" t="b">
        <f>IF(OR(B4&lt;100,C4="North"),TRUE,FALSE)</f>
        <v>0</v>
      </c>
      <c r="L4" t="b">
        <f>IF(AND(C4="East",D4="Yes"),TRUE,FALSE)</f>
        <v>1</v>
      </c>
      <c r="M4" t="str">
        <f>IF(AND(B4&gt;150,C4="East"),"Pass","Fail")</f>
        <v>Fail</v>
      </c>
      <c r="N4" t="str">
        <f>IF(C4="East","Main","Other")</f>
        <v>Main</v>
      </c>
      <c r="O4" t="b">
        <f>IF(AND(OR(B4&gt;100,C4="East",C4="West")),TRUE,FALSE)</f>
        <v>1</v>
      </c>
      <c r="P4" t="str">
        <f>IF(OR(B4&lt;100,C4="North"),"Review","Ok")</f>
        <v>Ok</v>
      </c>
      <c r="Q4">
        <f>IF(AND(B4&gt;150,C4="East"),B4*0.9,)</f>
        <v>0</v>
      </c>
      <c r="R4" t="b">
        <f>IF(AND(B4&gt;100,C4="East",D4="Yes"),TRUE,FALSE)</f>
        <v>1</v>
      </c>
      <c r="S4" t="str">
        <f>IF(OR(B4&gt;200,AND(B4&gt;100,C4="East")),"Priority","Normal")</f>
        <v>Priority</v>
      </c>
      <c r="T4" t="b">
        <f>IF(AND(B4&gt;100,B4&lt;200,C4&lt;&gt;"East"),TRUE,FALSE)</f>
        <v>0</v>
      </c>
      <c r="U4" t="b">
        <f>OR(AND(B4&gt;150, C4="East"), AND(B4&gt;200, C4="West"))</f>
        <v>0</v>
      </c>
      <c r="V4" t="str">
        <f>IF(AND(B2&gt;200,C2="East"),"High",IF(AND(B2&gt;100,C2="West"),"Medium","Low"))</f>
        <v>Low</v>
      </c>
    </row>
    <row r="5" spans="1:27" x14ac:dyDescent="0.25">
      <c r="A5" s="2" t="s">
        <v>7</v>
      </c>
      <c r="B5" s="2">
        <v>90</v>
      </c>
      <c r="C5" s="2" t="s">
        <v>8</v>
      </c>
      <c r="D5" s="2" t="s">
        <v>9</v>
      </c>
      <c r="F5" s="3" t="b">
        <f t="shared" ref="F5:F8" si="0">IF(B5&gt;100,TRUE,FALSE)</f>
        <v>0</v>
      </c>
      <c r="G5" s="4" t="b">
        <f t="shared" ref="G5:G8" si="1">IF(C5="East",TRUE,FALSE)</f>
        <v>0</v>
      </c>
      <c r="H5" s="5" t="b">
        <f t="shared" ref="H5:H8" si="2">IF(AND(B5&gt;100, C5="East"), TRUE, FALSE)</f>
        <v>0</v>
      </c>
      <c r="I5" s="6" t="b">
        <f t="shared" ref="I5:I8" si="3">IF(OR(B5&lt;100, C5="West"), TRUE, FALSE)</f>
        <v>1</v>
      </c>
      <c r="J5" s="7" t="b">
        <f t="shared" ref="J5:J8" si="4">IF(AND(B5&gt;100,B5&lt;200),TRUE,FALSE)</f>
        <v>0</v>
      </c>
      <c r="K5" s="8" t="b">
        <f t="shared" ref="K5:K8" si="5">IF(OR(B5&lt;100,C5="North"),TRUE,FALSE)</f>
        <v>1</v>
      </c>
      <c r="L5" s="9" t="b">
        <f t="shared" ref="L5:L8" si="6">IF(AND(C5="East",D5="Yes"),TRUE,FALSE)</f>
        <v>0</v>
      </c>
      <c r="M5" s="16" t="str">
        <f t="shared" ref="M5:M8" si="7">IF(AND(B5&gt;150,C5="East"),"Pass","Fail")</f>
        <v>Fail</v>
      </c>
      <c r="N5" s="11" t="str">
        <f t="shared" ref="N5:N8" si="8">IF(C5="East","Main","Other")</f>
        <v>Other</v>
      </c>
      <c r="O5" s="12" t="b">
        <f>IF(AND(OR(B5&gt;100,C5="East",C5="West")),TRUE,FALSE)</f>
        <v>1</v>
      </c>
      <c r="P5" s="13" t="str">
        <f t="shared" ref="P5:P8" si="9">IF(OR(B5&lt;100,C5="North"),"Review","Ok")</f>
        <v>Review</v>
      </c>
      <c r="Q5" s="15">
        <f t="shared" ref="Q5:Q8" si="10">IF(AND(B5&gt;150,C5="East"),B5*0.9,)</f>
        <v>0</v>
      </c>
      <c r="R5" s="15" t="b">
        <f t="shared" ref="R5:R8" si="11">IF(AND(B5&gt;100,C5="East",D5="Yes"),TRUE,FALSE)</f>
        <v>0</v>
      </c>
      <c r="S5" s="16" t="str">
        <f t="shared" ref="S5:S8" si="12">IF(OR(B5&gt;200,AND(B5&gt;100,C5="East")),"Priority","Normal")</f>
        <v>Normal</v>
      </c>
      <c r="T5" s="16" t="b">
        <f t="shared" ref="T5:T8" si="13">IF(AND(B5&gt;100,B5&lt;200,C5&lt;&gt;"East"),TRUE,FALSE)</f>
        <v>0</v>
      </c>
      <c r="U5" s="16" t="b">
        <f t="shared" ref="U5:U8" si="14">OR(AND(B5&gt;150, C5="East"), AND(B5&gt;200, C5="West"))</f>
        <v>0</v>
      </c>
      <c r="V5" s="16" t="str">
        <f t="shared" ref="V5:V8" si="15">IF(AND(B3&gt;200,C3="East"),"High",IF(AND(B3&gt;100,C3="West"),"Medium","Low"))</f>
        <v>Low</v>
      </c>
    </row>
    <row r="6" spans="1:27" x14ac:dyDescent="0.25">
      <c r="A6" s="2" t="s">
        <v>10</v>
      </c>
      <c r="B6" s="2">
        <v>200</v>
      </c>
      <c r="C6" s="2" t="s">
        <v>5</v>
      </c>
      <c r="D6" s="2" t="s">
        <v>6</v>
      </c>
      <c r="F6" s="3" t="b">
        <f t="shared" si="0"/>
        <v>1</v>
      </c>
      <c r="G6" s="4" t="b">
        <f t="shared" si="1"/>
        <v>1</v>
      </c>
      <c r="H6" s="5" t="b">
        <f t="shared" si="2"/>
        <v>1</v>
      </c>
      <c r="I6" s="6" t="b">
        <f t="shared" si="3"/>
        <v>0</v>
      </c>
      <c r="J6" s="7" t="b">
        <f t="shared" si="4"/>
        <v>0</v>
      </c>
      <c r="K6" s="8" t="b">
        <f t="shared" si="5"/>
        <v>0</v>
      </c>
      <c r="L6" s="9" t="b">
        <f t="shared" si="6"/>
        <v>1</v>
      </c>
      <c r="M6" s="16" t="str">
        <f t="shared" si="7"/>
        <v>Pass</v>
      </c>
      <c r="N6" s="11" t="str">
        <f t="shared" si="8"/>
        <v>Main</v>
      </c>
      <c r="O6" s="12" t="b">
        <f t="shared" ref="O6:O8" si="16">IF(AND(OR(B6&gt;100,C6="East",C6="West")),TRUE,FALSE)</f>
        <v>1</v>
      </c>
      <c r="P6" s="13" t="str">
        <f t="shared" si="9"/>
        <v>Ok</v>
      </c>
      <c r="Q6" s="15">
        <f t="shared" si="10"/>
        <v>180</v>
      </c>
      <c r="R6" s="15" t="b">
        <f t="shared" si="11"/>
        <v>1</v>
      </c>
      <c r="S6" s="16" t="str">
        <f t="shared" si="12"/>
        <v>Priority</v>
      </c>
      <c r="T6" s="16" t="b">
        <f t="shared" si="13"/>
        <v>0</v>
      </c>
      <c r="U6" s="16" t="b">
        <f t="shared" si="14"/>
        <v>1</v>
      </c>
      <c r="V6" s="16" t="str">
        <f t="shared" si="15"/>
        <v>Low</v>
      </c>
    </row>
    <row r="7" spans="1:27" x14ac:dyDescent="0.25">
      <c r="A7" s="2" t="s">
        <v>11</v>
      </c>
      <c r="B7" s="2">
        <v>150</v>
      </c>
      <c r="C7" s="2" t="s">
        <v>12</v>
      </c>
      <c r="D7" s="2" t="s">
        <v>9</v>
      </c>
      <c r="F7" s="3" t="b">
        <f t="shared" si="0"/>
        <v>1</v>
      </c>
      <c r="G7" s="4" t="b">
        <f t="shared" si="1"/>
        <v>0</v>
      </c>
      <c r="H7" s="5" t="b">
        <f t="shared" si="2"/>
        <v>0</v>
      </c>
      <c r="I7" s="6" t="b">
        <f t="shared" si="3"/>
        <v>0</v>
      </c>
      <c r="J7" s="7" t="b">
        <f t="shared" si="4"/>
        <v>1</v>
      </c>
      <c r="K7" s="8" t="b">
        <f t="shared" si="5"/>
        <v>1</v>
      </c>
      <c r="L7" s="9" t="b">
        <f t="shared" si="6"/>
        <v>0</v>
      </c>
      <c r="M7" s="16" t="str">
        <f t="shared" si="7"/>
        <v>Fail</v>
      </c>
      <c r="N7" s="11" t="str">
        <f t="shared" si="8"/>
        <v>Other</v>
      </c>
      <c r="O7" s="12" t="b">
        <f t="shared" si="16"/>
        <v>1</v>
      </c>
      <c r="P7" s="13" t="str">
        <f t="shared" si="9"/>
        <v>Review</v>
      </c>
      <c r="Q7" s="15">
        <f t="shared" si="10"/>
        <v>0</v>
      </c>
      <c r="R7" s="15" t="b">
        <f t="shared" si="11"/>
        <v>0</v>
      </c>
      <c r="S7" s="16" t="str">
        <f t="shared" si="12"/>
        <v>Normal</v>
      </c>
      <c r="T7" s="16" t="b">
        <f t="shared" si="13"/>
        <v>1</v>
      </c>
      <c r="U7" s="16" t="b">
        <f t="shared" si="14"/>
        <v>0</v>
      </c>
      <c r="V7" s="16" t="str">
        <f t="shared" si="15"/>
        <v>Low</v>
      </c>
    </row>
    <row r="8" spans="1:27" x14ac:dyDescent="0.25">
      <c r="A8" s="2" t="s">
        <v>13</v>
      </c>
      <c r="B8" s="2">
        <v>80</v>
      </c>
      <c r="C8" s="2" t="s">
        <v>5</v>
      </c>
      <c r="D8" s="2" t="s">
        <v>6</v>
      </c>
      <c r="F8" s="3" t="b">
        <f t="shared" si="0"/>
        <v>0</v>
      </c>
      <c r="G8" s="4" t="b">
        <f t="shared" si="1"/>
        <v>1</v>
      </c>
      <c r="H8" s="5" t="b">
        <f t="shared" si="2"/>
        <v>0</v>
      </c>
      <c r="I8" s="6" t="b">
        <f t="shared" si="3"/>
        <v>1</v>
      </c>
      <c r="J8" s="7" t="b">
        <f t="shared" si="4"/>
        <v>0</v>
      </c>
      <c r="K8" s="8" t="b">
        <f t="shared" si="5"/>
        <v>1</v>
      </c>
      <c r="L8" s="9" t="b">
        <f t="shared" si="6"/>
        <v>1</v>
      </c>
      <c r="M8" s="16" t="str">
        <f t="shared" si="7"/>
        <v>Fail</v>
      </c>
      <c r="N8" s="11" t="str">
        <f t="shared" si="8"/>
        <v>Main</v>
      </c>
      <c r="O8" s="12" t="b">
        <f t="shared" si="16"/>
        <v>1</v>
      </c>
      <c r="P8" s="13" t="str">
        <f t="shared" si="9"/>
        <v>Review</v>
      </c>
      <c r="Q8" s="15">
        <f t="shared" si="10"/>
        <v>0</v>
      </c>
      <c r="R8" s="15" t="b">
        <f t="shared" si="11"/>
        <v>0</v>
      </c>
      <c r="S8" s="16" t="str">
        <f t="shared" si="12"/>
        <v>Normal</v>
      </c>
      <c r="T8" s="16" t="b">
        <f t="shared" si="13"/>
        <v>0</v>
      </c>
      <c r="U8" s="16" t="b">
        <f t="shared" si="14"/>
        <v>0</v>
      </c>
      <c r="V8" s="16" t="str">
        <f t="shared" si="15"/>
        <v>Low</v>
      </c>
    </row>
  </sheetData>
  <conditionalFormatting sqref="A3:D8">
    <cfRule type="expression" dxfId="1" priority="5">
      <formula>AND(C4="East", B4&gt;150)</formula>
    </cfRule>
  </conditionalFormatting>
  <conditionalFormatting sqref="A4:D8">
    <cfRule type="expression" dxfId="0" priority="1">
      <formula>IF(AND(B4&gt;100, C4="East"),TRUE,FALSE)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opLeftCell="A4" workbookViewId="0">
      <selection activeCell="K33" sqref="K33"/>
    </sheetView>
  </sheetViews>
  <sheetFormatPr defaultRowHeight="15" x14ac:dyDescent="0.25"/>
  <cols>
    <col min="6" max="6" width="9.5703125" bestFit="1" customWidth="1"/>
  </cols>
  <sheetData>
    <row r="1" spans="1:6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25">
      <c r="A2" t="s">
        <v>41</v>
      </c>
      <c r="B2" t="s">
        <v>46</v>
      </c>
      <c r="C2" t="s">
        <v>37</v>
      </c>
      <c r="D2">
        <v>150</v>
      </c>
      <c r="E2">
        <v>10000</v>
      </c>
      <c r="F2" s="19">
        <v>1500000</v>
      </c>
    </row>
    <row r="3" spans="1:6" s="16" customFormat="1" x14ac:dyDescent="0.25">
      <c r="A3" s="16" t="s">
        <v>42</v>
      </c>
      <c r="B3" s="16" t="s">
        <v>47</v>
      </c>
      <c r="C3" s="16" t="s">
        <v>37</v>
      </c>
      <c r="D3" s="16">
        <v>300</v>
      </c>
      <c r="E3" s="16">
        <v>1500</v>
      </c>
      <c r="F3" s="19">
        <v>450000</v>
      </c>
    </row>
    <row r="4" spans="1:6" x14ac:dyDescent="0.25">
      <c r="A4" s="16" t="s">
        <v>43</v>
      </c>
      <c r="B4" t="s">
        <v>48</v>
      </c>
      <c r="C4" t="s">
        <v>38</v>
      </c>
      <c r="D4">
        <v>500</v>
      </c>
      <c r="E4">
        <v>500</v>
      </c>
      <c r="F4" s="19">
        <v>250000</v>
      </c>
    </row>
    <row r="5" spans="1:6" x14ac:dyDescent="0.25">
      <c r="A5" s="16" t="s">
        <v>44</v>
      </c>
      <c r="B5" t="s">
        <v>49</v>
      </c>
      <c r="C5" t="s">
        <v>39</v>
      </c>
      <c r="D5">
        <v>1000</v>
      </c>
      <c r="E5">
        <v>200</v>
      </c>
      <c r="F5" s="19">
        <v>200000</v>
      </c>
    </row>
    <row r="6" spans="1:6" x14ac:dyDescent="0.25">
      <c r="A6" s="16" t="s">
        <v>45</v>
      </c>
      <c r="B6" t="s">
        <v>50</v>
      </c>
      <c r="C6" t="s">
        <v>40</v>
      </c>
      <c r="D6">
        <v>150</v>
      </c>
      <c r="E6">
        <v>1000</v>
      </c>
      <c r="F6" s="19">
        <v>150000</v>
      </c>
    </row>
    <row r="8" spans="1:6" x14ac:dyDescent="0.25">
      <c r="A8" t="s">
        <v>51</v>
      </c>
      <c r="B8" s="19">
        <f>MIN(F2:F6)</f>
        <v>150000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E4" sqref="E4"/>
    </sheetView>
  </sheetViews>
  <sheetFormatPr defaultRowHeight="15" x14ac:dyDescent="0.25"/>
  <cols>
    <col min="1" max="1" width="15.140625" customWidth="1"/>
    <col min="2" max="2" width="27.140625" customWidth="1"/>
    <col min="3" max="3" width="23" customWidth="1"/>
    <col min="4" max="4" width="19" customWidth="1"/>
  </cols>
  <sheetData>
    <row r="1" spans="1:4" x14ac:dyDescent="0.25">
      <c r="A1" t="s">
        <v>52</v>
      </c>
      <c r="B1" t="s">
        <v>53</v>
      </c>
      <c r="C1" t="s">
        <v>59</v>
      </c>
      <c r="D1" t="s">
        <v>60</v>
      </c>
    </row>
    <row r="2" spans="1:4" x14ac:dyDescent="0.25">
      <c r="A2" t="s">
        <v>54</v>
      </c>
      <c r="B2" t="s">
        <v>61</v>
      </c>
      <c r="C2" t="str">
        <f>TRIM(A2)</f>
        <v>Aman Sharma</v>
      </c>
      <c r="D2" t="str">
        <f>TRIM(B2)</f>
        <v>123,Mg Road, Delhi</v>
      </c>
    </row>
    <row r="3" spans="1:4" x14ac:dyDescent="0.25">
      <c r="A3" t="s">
        <v>55</v>
      </c>
      <c r="B3" t="s">
        <v>62</v>
      </c>
      <c r="C3" s="16" t="str">
        <f t="shared" ref="C3:C6" si="0">TRIM(A3)</f>
        <v>Priya Verma</v>
      </c>
      <c r="D3" s="16" t="str">
        <f t="shared" ref="D3:D6" si="1">TRIM(B3)</f>
        <v>456, Brigade Road, Bangalore</v>
      </c>
    </row>
    <row r="4" spans="1:4" x14ac:dyDescent="0.25">
      <c r="A4" t="s">
        <v>56</v>
      </c>
      <c r="B4" t="s">
        <v>63</v>
      </c>
      <c r="C4" s="16" t="str">
        <f t="shared" si="0"/>
        <v>Rajesh Kumar</v>
      </c>
      <c r="D4" s="16" t="str">
        <f t="shared" si="1"/>
        <v>789, Anna Salai, Chennai</v>
      </c>
    </row>
    <row r="5" spans="1:4" x14ac:dyDescent="0.25">
      <c r="A5" t="s">
        <v>57</v>
      </c>
      <c r="B5" t="s">
        <v>64</v>
      </c>
      <c r="C5" s="16" t="str">
        <f t="shared" si="0"/>
        <v>Sunita Reddy</v>
      </c>
      <c r="D5" s="16" t="str">
        <f t="shared" si="1"/>
        <v>1010, Park Street, Kolkata</v>
      </c>
    </row>
    <row r="6" spans="1:4" x14ac:dyDescent="0.25">
      <c r="A6" t="s">
        <v>58</v>
      </c>
      <c r="B6" t="s">
        <v>65</v>
      </c>
      <c r="C6" s="16" t="str">
        <f t="shared" si="0"/>
        <v>Vijay Singh</v>
      </c>
      <c r="D6" s="16" t="str">
        <f t="shared" si="1"/>
        <v>1111, Banjara Hills, Hyderabad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F4" sqref="F4"/>
    </sheetView>
  </sheetViews>
  <sheetFormatPr defaultRowHeight="15" x14ac:dyDescent="0.25"/>
  <sheetData>
    <row r="1" spans="1:4" x14ac:dyDescent="0.25">
      <c r="A1" t="s">
        <v>66</v>
      </c>
      <c r="B1" t="s">
        <v>71</v>
      </c>
      <c r="C1" t="s">
        <v>72</v>
      </c>
      <c r="D1" t="s">
        <v>73</v>
      </c>
    </row>
    <row r="2" spans="1:4" x14ac:dyDescent="0.25">
      <c r="A2" t="s">
        <v>67</v>
      </c>
      <c r="B2">
        <v>1200</v>
      </c>
      <c r="C2">
        <v>10000</v>
      </c>
      <c r="D2">
        <f>IFERROR(C2,500)</f>
        <v>10000</v>
      </c>
    </row>
    <row r="3" spans="1:4" x14ac:dyDescent="0.25">
      <c r="A3" t="s">
        <v>68</v>
      </c>
      <c r="B3">
        <v>800</v>
      </c>
      <c r="C3">
        <v>7000</v>
      </c>
      <c r="D3" s="16">
        <f t="shared" ref="D3:D5" si="0">IFERROR(C3,500)</f>
        <v>7000</v>
      </c>
    </row>
    <row r="4" spans="1:4" x14ac:dyDescent="0.25">
      <c r="A4" t="s">
        <v>69</v>
      </c>
      <c r="B4">
        <v>950</v>
      </c>
      <c r="C4" s="21" t="e">
        <v>#DIV/0!</v>
      </c>
      <c r="D4" s="16">
        <f>IFERROR(C4,500)</f>
        <v>500</v>
      </c>
    </row>
    <row r="5" spans="1:4" x14ac:dyDescent="0.25">
      <c r="A5" t="s">
        <v>70</v>
      </c>
      <c r="B5">
        <v>1100</v>
      </c>
      <c r="C5" s="21">
        <v>8500</v>
      </c>
      <c r="D5" s="16">
        <f t="shared" si="0"/>
        <v>8500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opLeftCell="A2" workbookViewId="0">
      <selection activeCell="I28" sqref="I28"/>
    </sheetView>
  </sheetViews>
  <sheetFormatPr defaultRowHeight="15" x14ac:dyDescent="0.25"/>
  <sheetData>
    <row r="1" spans="1:4" x14ac:dyDescent="0.25">
      <c r="A1" t="s">
        <v>74</v>
      </c>
      <c r="B1" t="s">
        <v>75</v>
      </c>
      <c r="C1" t="s">
        <v>76</v>
      </c>
      <c r="D1" t="s">
        <v>77</v>
      </c>
    </row>
    <row r="2" spans="1:4" x14ac:dyDescent="0.25">
      <c r="A2" t="s">
        <v>78</v>
      </c>
      <c r="B2">
        <v>10</v>
      </c>
      <c r="C2">
        <v>30</v>
      </c>
      <c r="D2" s="22">
        <f>TIME(B2,C2,0)</f>
        <v>0.4375</v>
      </c>
    </row>
    <row r="3" spans="1:4" x14ac:dyDescent="0.25">
      <c r="A3" t="s">
        <v>79</v>
      </c>
      <c r="B3">
        <v>12</v>
      </c>
      <c r="C3">
        <v>45</v>
      </c>
      <c r="D3" s="22">
        <f t="shared" ref="D3:D6" si="0">TIME(B3,C3,0)</f>
        <v>0.53125</v>
      </c>
    </row>
    <row r="4" spans="1:4" x14ac:dyDescent="0.25">
      <c r="A4" t="s">
        <v>80</v>
      </c>
      <c r="B4">
        <v>14</v>
      </c>
      <c r="C4">
        <v>15</v>
      </c>
      <c r="D4" s="22">
        <f t="shared" si="0"/>
        <v>0.59375</v>
      </c>
    </row>
    <row r="5" spans="1:4" x14ac:dyDescent="0.25">
      <c r="A5" t="s">
        <v>81</v>
      </c>
      <c r="B5">
        <v>16</v>
      </c>
      <c r="C5">
        <v>0</v>
      </c>
      <c r="D5" s="22">
        <f t="shared" si="0"/>
        <v>0.66666666666666663</v>
      </c>
    </row>
    <row r="6" spans="1:4" x14ac:dyDescent="0.25">
      <c r="A6" t="s">
        <v>82</v>
      </c>
      <c r="B6">
        <v>18</v>
      </c>
      <c r="C6">
        <v>30</v>
      </c>
      <c r="D6" s="22">
        <f t="shared" si="0"/>
        <v>0.77083333333333337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opLeftCell="A2" workbookViewId="0">
      <selection activeCell="L28" sqref="L28"/>
    </sheetView>
  </sheetViews>
  <sheetFormatPr defaultRowHeight="15" x14ac:dyDescent="0.25"/>
  <cols>
    <col min="2" max="2" width="18.42578125" customWidth="1"/>
    <col min="3" max="3" width="17.5703125" customWidth="1"/>
  </cols>
  <sheetData>
    <row r="1" spans="1:4" x14ac:dyDescent="0.25">
      <c r="A1" t="s">
        <v>83</v>
      </c>
      <c r="B1" t="s">
        <v>84</v>
      </c>
      <c r="C1" t="s">
        <v>90</v>
      </c>
      <c r="D1" t="s">
        <v>91</v>
      </c>
    </row>
    <row r="2" spans="1:4" x14ac:dyDescent="0.25">
      <c r="A2">
        <v>101</v>
      </c>
      <c r="B2" t="s">
        <v>85</v>
      </c>
      <c r="C2" s="23" t="s">
        <v>92</v>
      </c>
      <c r="D2">
        <f>_xlfn.NUMBERVALUE(C2)</f>
        <v>10000</v>
      </c>
    </row>
    <row r="3" spans="1:4" x14ac:dyDescent="0.25">
      <c r="A3">
        <v>102</v>
      </c>
      <c r="B3" t="s">
        <v>86</v>
      </c>
      <c r="C3" s="23" t="s">
        <v>93</v>
      </c>
      <c r="D3" s="16">
        <f t="shared" ref="D3:D6" si="0">_xlfn.NUMBERVALUE(C3)</f>
        <v>15000</v>
      </c>
    </row>
    <row r="4" spans="1:4" x14ac:dyDescent="0.25">
      <c r="A4">
        <v>103</v>
      </c>
      <c r="B4" t="s">
        <v>87</v>
      </c>
      <c r="C4" s="23" t="s">
        <v>94</v>
      </c>
      <c r="D4" s="16">
        <f t="shared" si="0"/>
        <v>20000</v>
      </c>
    </row>
    <row r="5" spans="1:4" x14ac:dyDescent="0.25">
      <c r="A5">
        <v>104</v>
      </c>
      <c r="B5" t="s">
        <v>88</v>
      </c>
      <c r="C5" s="23" t="s">
        <v>95</v>
      </c>
      <c r="D5" s="16">
        <f t="shared" si="0"/>
        <v>25000</v>
      </c>
    </row>
    <row r="6" spans="1:4" x14ac:dyDescent="0.25">
      <c r="A6">
        <v>105</v>
      </c>
      <c r="B6" t="s">
        <v>89</v>
      </c>
      <c r="C6" s="23" t="s">
        <v>96</v>
      </c>
      <c r="D6" s="16">
        <f t="shared" si="0"/>
        <v>30000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4" sqref="B14"/>
    </sheetView>
  </sheetViews>
  <sheetFormatPr defaultRowHeight="15" x14ac:dyDescent="0.25"/>
  <cols>
    <col min="1" max="1" width="13.5703125" customWidth="1"/>
  </cols>
  <sheetData>
    <row r="1" spans="1:2" x14ac:dyDescent="0.25">
      <c r="A1" t="s">
        <v>97</v>
      </c>
      <c r="B1" t="s">
        <v>108</v>
      </c>
    </row>
    <row r="2" spans="1:2" x14ac:dyDescent="0.25">
      <c r="A2" t="s">
        <v>98</v>
      </c>
      <c r="B2" s="19">
        <v>350000</v>
      </c>
    </row>
    <row r="3" spans="1:2" x14ac:dyDescent="0.25">
      <c r="A3" s="16" t="s">
        <v>99</v>
      </c>
      <c r="B3" s="19">
        <v>450000</v>
      </c>
    </row>
    <row r="4" spans="1:2" x14ac:dyDescent="0.25">
      <c r="A4" s="16" t="s">
        <v>100</v>
      </c>
      <c r="B4" s="19">
        <v>300000</v>
      </c>
    </row>
    <row r="5" spans="1:2" x14ac:dyDescent="0.25">
      <c r="A5" s="16" t="s">
        <v>101</v>
      </c>
      <c r="B5" s="19">
        <v>500000</v>
      </c>
    </row>
    <row r="6" spans="1:2" x14ac:dyDescent="0.25">
      <c r="A6" s="16" t="s">
        <v>102</v>
      </c>
      <c r="B6" s="19">
        <v>600000</v>
      </c>
    </row>
    <row r="7" spans="1:2" x14ac:dyDescent="0.25">
      <c r="A7" s="16" t="s">
        <v>103</v>
      </c>
      <c r="B7" s="19">
        <v>700000</v>
      </c>
    </row>
    <row r="8" spans="1:2" x14ac:dyDescent="0.25">
      <c r="A8" s="16" t="s">
        <v>104</v>
      </c>
      <c r="B8" s="19">
        <v>550000</v>
      </c>
    </row>
    <row r="9" spans="1:2" x14ac:dyDescent="0.25">
      <c r="A9" s="16" t="s">
        <v>105</v>
      </c>
      <c r="B9" s="19">
        <v>400000</v>
      </c>
    </row>
    <row r="10" spans="1:2" x14ac:dyDescent="0.25">
      <c r="A10" s="16" t="s">
        <v>106</v>
      </c>
      <c r="B10" s="19">
        <v>380000</v>
      </c>
    </row>
    <row r="11" spans="1:2" x14ac:dyDescent="0.25">
      <c r="A11" s="16" t="s">
        <v>107</v>
      </c>
      <c r="B11" s="19">
        <v>620000</v>
      </c>
    </row>
    <row r="14" spans="1:2" x14ac:dyDescent="0.25">
      <c r="A14" t="s">
        <v>109</v>
      </c>
      <c r="B14">
        <f>QUARTILE(B2:B11,1)</f>
        <v>385000</v>
      </c>
    </row>
    <row r="15" spans="1:2" x14ac:dyDescent="0.25">
      <c r="A15" t="s">
        <v>110</v>
      </c>
      <c r="B15" s="16">
        <f>QUARTILE(B2:B11,2)</f>
        <v>475000</v>
      </c>
    </row>
    <row r="16" spans="1:2" x14ac:dyDescent="0.25">
      <c r="A16" t="s">
        <v>111</v>
      </c>
      <c r="B16" s="16">
        <f>QUARTILE(B2:B11,3)</f>
        <v>587500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8" sqref="B8"/>
    </sheetView>
  </sheetViews>
  <sheetFormatPr defaultRowHeight="15" x14ac:dyDescent="0.25"/>
  <sheetData>
    <row r="1" spans="1:2" x14ac:dyDescent="0.25">
      <c r="A1" t="s">
        <v>112</v>
      </c>
      <c r="B1" t="s">
        <v>113</v>
      </c>
    </row>
    <row r="2" spans="1:2" x14ac:dyDescent="0.25">
      <c r="A2" t="s">
        <v>12</v>
      </c>
      <c r="B2">
        <v>150</v>
      </c>
    </row>
    <row r="3" spans="1:2" x14ac:dyDescent="0.25">
      <c r="A3" t="s">
        <v>114</v>
      </c>
      <c r="B3">
        <v>120</v>
      </c>
    </row>
    <row r="4" spans="1:2" x14ac:dyDescent="0.25">
      <c r="A4" t="s">
        <v>5</v>
      </c>
      <c r="B4">
        <v>100</v>
      </c>
    </row>
    <row r="5" spans="1:2" x14ac:dyDescent="0.25">
      <c r="A5" t="s">
        <v>8</v>
      </c>
      <c r="B5">
        <v>80</v>
      </c>
    </row>
    <row r="6" spans="1:2" x14ac:dyDescent="0.25">
      <c r="A6" t="s">
        <v>115</v>
      </c>
      <c r="B6">
        <v>50</v>
      </c>
    </row>
    <row r="8" spans="1:2" x14ac:dyDescent="0.25">
      <c r="A8" t="s">
        <v>51</v>
      </c>
      <c r="B8">
        <f>SUM(B2:B6)</f>
        <v>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N28" sqref="N28"/>
    </sheetView>
  </sheetViews>
  <sheetFormatPr defaultRowHeight="15" x14ac:dyDescent="0.25"/>
  <sheetData>
    <row r="1" spans="1:6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</row>
    <row r="2" spans="1:6" x14ac:dyDescent="0.25">
      <c r="A2">
        <v>101</v>
      </c>
      <c r="B2" t="s">
        <v>122</v>
      </c>
      <c r="C2">
        <v>500</v>
      </c>
      <c r="D2">
        <v>300</v>
      </c>
      <c r="E2">
        <v>1500</v>
      </c>
      <c r="F2">
        <f>(C2-D2)*E2</f>
        <v>300000</v>
      </c>
    </row>
    <row r="3" spans="1:6" x14ac:dyDescent="0.25">
      <c r="A3" s="16">
        <v>102</v>
      </c>
      <c r="B3" t="s">
        <v>123</v>
      </c>
      <c r="C3">
        <v>200</v>
      </c>
      <c r="D3">
        <v>200</v>
      </c>
      <c r="E3">
        <v>3500</v>
      </c>
      <c r="F3" s="16">
        <f t="shared" ref="F3:F6" si="0">(C3-D3)*E3</f>
        <v>0</v>
      </c>
    </row>
    <row r="4" spans="1:6" x14ac:dyDescent="0.25">
      <c r="A4" s="16">
        <v>103</v>
      </c>
      <c r="B4" t="s">
        <v>124</v>
      </c>
      <c r="C4">
        <v>450</v>
      </c>
      <c r="D4">
        <v>400</v>
      </c>
      <c r="E4">
        <v>1200</v>
      </c>
      <c r="F4" s="16">
        <f t="shared" si="0"/>
        <v>60000</v>
      </c>
    </row>
    <row r="5" spans="1:6" x14ac:dyDescent="0.25">
      <c r="A5" s="16">
        <v>104</v>
      </c>
      <c r="B5" t="s">
        <v>125</v>
      </c>
      <c r="C5">
        <v>600</v>
      </c>
      <c r="D5">
        <v>550</v>
      </c>
      <c r="E5">
        <v>800</v>
      </c>
      <c r="F5" s="16">
        <f t="shared" si="0"/>
        <v>40000</v>
      </c>
    </row>
    <row r="6" spans="1:6" x14ac:dyDescent="0.25">
      <c r="A6" s="16">
        <v>105</v>
      </c>
      <c r="B6" t="s">
        <v>126</v>
      </c>
      <c r="C6">
        <v>300</v>
      </c>
      <c r="D6">
        <v>250</v>
      </c>
      <c r="E6">
        <v>2000</v>
      </c>
      <c r="F6" s="16">
        <f t="shared" si="0"/>
        <v>100000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E16" sqref="E16"/>
    </sheetView>
  </sheetViews>
  <sheetFormatPr defaultRowHeight="15" x14ac:dyDescent="0.25"/>
  <cols>
    <col min="1" max="1" width="11.85546875" customWidth="1"/>
  </cols>
  <sheetData>
    <row r="1" spans="1:9" x14ac:dyDescent="0.25">
      <c r="A1" t="s">
        <v>127</v>
      </c>
      <c r="B1" t="s">
        <v>138</v>
      </c>
      <c r="C1" t="s">
        <v>139</v>
      </c>
      <c r="D1" t="s">
        <v>140</v>
      </c>
      <c r="E1" t="s">
        <v>141</v>
      </c>
      <c r="F1" t="s">
        <v>72</v>
      </c>
      <c r="G1" t="s">
        <v>142</v>
      </c>
      <c r="H1" t="s">
        <v>143</v>
      </c>
      <c r="I1" t="s">
        <v>144</v>
      </c>
    </row>
    <row r="2" spans="1:9" x14ac:dyDescent="0.25">
      <c r="A2" t="s">
        <v>128</v>
      </c>
      <c r="B2">
        <v>12500</v>
      </c>
      <c r="C2">
        <v>380</v>
      </c>
      <c r="D2">
        <v>25</v>
      </c>
      <c r="E2">
        <v>35000</v>
      </c>
      <c r="F2">
        <v>175000</v>
      </c>
      <c r="G2" s="20">
        <f>(D2/C2)*100</f>
        <v>6.5789473684210522</v>
      </c>
      <c r="H2" s="20">
        <f>B2/C2</f>
        <v>32.89473684210526</v>
      </c>
      <c r="I2">
        <f>((F2-E2)/E2)*100</f>
        <v>400</v>
      </c>
    </row>
    <row r="3" spans="1:9" x14ac:dyDescent="0.25">
      <c r="A3" s="16" t="s">
        <v>129</v>
      </c>
      <c r="B3">
        <v>9800</v>
      </c>
      <c r="C3">
        <v>290</v>
      </c>
      <c r="D3">
        <v>20</v>
      </c>
      <c r="E3">
        <v>28000</v>
      </c>
      <c r="F3">
        <v>168000</v>
      </c>
      <c r="G3" s="20">
        <f t="shared" ref="G3:G11" si="0">(D3/C3)*100</f>
        <v>6.8965517241379306</v>
      </c>
      <c r="H3" s="20">
        <f t="shared" ref="H3:H11" si="1">B3/C3</f>
        <v>33.793103448275865</v>
      </c>
      <c r="I3" s="16">
        <f t="shared" ref="I3:I11" si="2">((F3-E3)/E3)*100</f>
        <v>500</v>
      </c>
    </row>
    <row r="4" spans="1:9" x14ac:dyDescent="0.25">
      <c r="A4" s="16" t="s">
        <v>130</v>
      </c>
      <c r="B4">
        <v>15000</v>
      </c>
      <c r="C4">
        <v>420</v>
      </c>
      <c r="D4">
        <v>30</v>
      </c>
      <c r="E4">
        <v>40000</v>
      </c>
      <c r="F4">
        <v>50000</v>
      </c>
      <c r="G4" s="20">
        <f t="shared" si="0"/>
        <v>7.1428571428571423</v>
      </c>
      <c r="H4" s="20">
        <f t="shared" si="1"/>
        <v>35.714285714285715</v>
      </c>
      <c r="I4" s="16">
        <f t="shared" si="2"/>
        <v>25</v>
      </c>
    </row>
    <row r="5" spans="1:9" x14ac:dyDescent="0.25">
      <c r="A5" s="16" t="s">
        <v>131</v>
      </c>
      <c r="B5">
        <v>8000</v>
      </c>
      <c r="C5">
        <v>250</v>
      </c>
      <c r="D5">
        <v>15</v>
      </c>
      <c r="E5">
        <v>22000</v>
      </c>
      <c r="F5">
        <v>44000</v>
      </c>
      <c r="G5" s="20">
        <f t="shared" si="0"/>
        <v>6</v>
      </c>
      <c r="H5" s="20">
        <f t="shared" si="1"/>
        <v>32</v>
      </c>
      <c r="I5" s="16">
        <f t="shared" si="2"/>
        <v>100</v>
      </c>
    </row>
    <row r="6" spans="1:9" x14ac:dyDescent="0.25">
      <c r="A6" s="16" t="s">
        <v>132</v>
      </c>
      <c r="B6">
        <v>20000</v>
      </c>
      <c r="C6">
        <v>600</v>
      </c>
      <c r="D6">
        <v>40</v>
      </c>
      <c r="E6">
        <v>50000</v>
      </c>
      <c r="F6">
        <v>100000</v>
      </c>
      <c r="G6" s="20">
        <f t="shared" si="0"/>
        <v>6.666666666666667</v>
      </c>
      <c r="H6" s="20">
        <f t="shared" si="1"/>
        <v>33.333333333333336</v>
      </c>
      <c r="I6" s="16">
        <f t="shared" si="2"/>
        <v>100</v>
      </c>
    </row>
    <row r="7" spans="1:9" x14ac:dyDescent="0.25">
      <c r="A7" s="16" t="s">
        <v>133</v>
      </c>
      <c r="B7">
        <v>13500</v>
      </c>
      <c r="C7">
        <v>410</v>
      </c>
      <c r="D7">
        <v>28</v>
      </c>
      <c r="E7">
        <v>37000</v>
      </c>
      <c r="F7">
        <v>74000</v>
      </c>
      <c r="G7" s="20">
        <f t="shared" si="0"/>
        <v>6.8292682926829276</v>
      </c>
      <c r="H7" s="20">
        <f t="shared" si="1"/>
        <v>32.926829268292686</v>
      </c>
      <c r="I7" s="16">
        <f t="shared" si="2"/>
        <v>100</v>
      </c>
    </row>
    <row r="8" spans="1:9" x14ac:dyDescent="0.25">
      <c r="A8" s="16" t="s">
        <v>134</v>
      </c>
      <c r="B8">
        <v>11000</v>
      </c>
      <c r="C8">
        <v>320</v>
      </c>
      <c r="D8">
        <v>18</v>
      </c>
      <c r="E8">
        <v>30000</v>
      </c>
      <c r="F8">
        <v>40000</v>
      </c>
      <c r="G8" s="20">
        <f t="shared" si="0"/>
        <v>5.625</v>
      </c>
      <c r="H8" s="20">
        <f t="shared" si="1"/>
        <v>34.375</v>
      </c>
      <c r="I8" s="20">
        <f t="shared" si="2"/>
        <v>33.333333333333329</v>
      </c>
    </row>
    <row r="9" spans="1:9" x14ac:dyDescent="0.25">
      <c r="A9" s="16" t="s">
        <v>135</v>
      </c>
      <c r="B9">
        <v>16500</v>
      </c>
      <c r="C9">
        <v>480</v>
      </c>
      <c r="D9">
        <v>35</v>
      </c>
      <c r="E9">
        <v>45000</v>
      </c>
      <c r="F9">
        <v>180000</v>
      </c>
      <c r="G9" s="20">
        <f t="shared" si="0"/>
        <v>7.291666666666667</v>
      </c>
      <c r="H9" s="20">
        <f t="shared" si="1"/>
        <v>34.375</v>
      </c>
      <c r="I9" s="16">
        <f t="shared" si="2"/>
        <v>300</v>
      </c>
    </row>
    <row r="10" spans="1:9" x14ac:dyDescent="0.25">
      <c r="A10" s="16" t="s">
        <v>136</v>
      </c>
      <c r="B10">
        <v>7500</v>
      </c>
      <c r="C10">
        <v>200</v>
      </c>
      <c r="D10">
        <v>12</v>
      </c>
      <c r="E10">
        <v>18000</v>
      </c>
      <c r="F10">
        <v>72000</v>
      </c>
      <c r="G10" s="20">
        <f t="shared" si="0"/>
        <v>6</v>
      </c>
      <c r="H10" s="20">
        <f t="shared" si="1"/>
        <v>37.5</v>
      </c>
      <c r="I10" s="16">
        <f t="shared" si="2"/>
        <v>300</v>
      </c>
    </row>
    <row r="11" spans="1:9" x14ac:dyDescent="0.25">
      <c r="A11" s="16" t="s">
        <v>137</v>
      </c>
      <c r="B11">
        <v>18000</v>
      </c>
      <c r="C11">
        <v>550</v>
      </c>
      <c r="D11">
        <v>45</v>
      </c>
      <c r="E11">
        <v>60000</v>
      </c>
      <c r="F11">
        <v>300000</v>
      </c>
      <c r="G11" s="20">
        <f t="shared" si="0"/>
        <v>8.1818181818181817</v>
      </c>
      <c r="H11" s="20">
        <f t="shared" si="1"/>
        <v>32.727272727272727</v>
      </c>
      <c r="I11" s="16">
        <f t="shared" si="2"/>
        <v>400</v>
      </c>
    </row>
    <row r="15" spans="1:9" x14ac:dyDescent="0.25">
      <c r="A15" t="s">
        <v>145</v>
      </c>
      <c r="E15" t="str">
        <f>INDEX(A2:A11,MATCH(MAX(I2:I11),I2:I11,0))</f>
        <v>Campaign B</v>
      </c>
    </row>
    <row r="16" spans="1:9" x14ac:dyDescent="0.25">
      <c r="A16" s="16" t="s">
        <v>147</v>
      </c>
      <c r="E16" t="str">
        <f>INDEX(A2:A11,MATCH(MAX(I2:I11),I2:I11,0))</f>
        <v>Campaign B</v>
      </c>
    </row>
    <row r="17" spans="1:5" x14ac:dyDescent="0.25">
      <c r="A17" t="s">
        <v>146</v>
      </c>
      <c r="E17" t="str">
        <f>INDEX(A2:A11,MATCH(MIN(I2:I11),I2:I11,0))</f>
        <v>Campaign C</v>
      </c>
    </row>
    <row r="18" spans="1:5" x14ac:dyDescent="0.25">
      <c r="A18" s="16" t="s">
        <v>148</v>
      </c>
      <c r="E18" t="str">
        <f>INDEX(A2:A11,MATCH(MIN(F2:F11),F2:F11,0))</f>
        <v>Campaign G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D2" sqref="D2:D3"/>
    </sheetView>
  </sheetViews>
  <sheetFormatPr defaultRowHeight="15" x14ac:dyDescent="0.25"/>
  <sheetData>
    <row r="1" spans="1:4" x14ac:dyDescent="0.25">
      <c r="A1" t="s">
        <v>149</v>
      </c>
      <c r="B1" t="s">
        <v>150</v>
      </c>
      <c r="C1" t="s">
        <v>151</v>
      </c>
      <c r="D1" t="s">
        <v>152</v>
      </c>
    </row>
    <row r="2" spans="1:4" x14ac:dyDescent="0.25">
      <c r="A2">
        <v>12345</v>
      </c>
      <c r="B2" t="s">
        <v>156</v>
      </c>
      <c r="C2">
        <v>198.5</v>
      </c>
      <c r="D2">
        <f>FLOOR(C2,1)</f>
        <v>198</v>
      </c>
    </row>
    <row r="3" spans="1:4" x14ac:dyDescent="0.25">
      <c r="A3">
        <v>54321</v>
      </c>
      <c r="B3" t="s">
        <v>155</v>
      </c>
      <c r="C3">
        <v>129.99</v>
      </c>
      <c r="D3" s="16">
        <f t="shared" ref="D3:D5" si="0">FLOOR(C3,1)</f>
        <v>129</v>
      </c>
    </row>
    <row r="4" spans="1:4" x14ac:dyDescent="0.25">
      <c r="A4">
        <v>67890</v>
      </c>
      <c r="B4" t="s">
        <v>154</v>
      </c>
      <c r="C4">
        <v>499</v>
      </c>
      <c r="D4" s="16">
        <f t="shared" si="0"/>
        <v>499</v>
      </c>
    </row>
    <row r="5" spans="1:4" x14ac:dyDescent="0.25">
      <c r="A5">
        <v>21098</v>
      </c>
      <c r="B5" t="s">
        <v>153</v>
      </c>
      <c r="C5">
        <v>99.75</v>
      </c>
      <c r="D5" s="16">
        <f t="shared" si="0"/>
        <v>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>
      <selection activeCell="C13" sqref="C13"/>
    </sheetView>
  </sheetViews>
  <sheetFormatPr defaultRowHeight="15" x14ac:dyDescent="0.25"/>
  <sheetData>
    <row r="1" spans="1:13" x14ac:dyDescent="0.25">
      <c r="A1" t="s">
        <v>157</v>
      </c>
      <c r="B1" t="s">
        <v>168</v>
      </c>
      <c r="C1" s="16" t="s">
        <v>169</v>
      </c>
      <c r="D1" s="16" t="s">
        <v>170</v>
      </c>
      <c r="E1" s="16" t="s">
        <v>171</v>
      </c>
      <c r="F1" s="16" t="s">
        <v>172</v>
      </c>
      <c r="G1" s="16" t="s">
        <v>173</v>
      </c>
      <c r="H1" s="16" t="s">
        <v>174</v>
      </c>
      <c r="I1" s="16" t="s">
        <v>175</v>
      </c>
      <c r="J1" s="16" t="s">
        <v>176</v>
      </c>
      <c r="K1" s="16" t="s">
        <v>177</v>
      </c>
      <c r="L1" s="16" t="s">
        <v>178</v>
      </c>
      <c r="M1" s="16" t="s">
        <v>179</v>
      </c>
    </row>
    <row r="2" spans="1:13" x14ac:dyDescent="0.25">
      <c r="A2" t="s">
        <v>158</v>
      </c>
      <c r="B2">
        <v>1200</v>
      </c>
      <c r="C2">
        <v>1300</v>
      </c>
      <c r="D2">
        <v>1250</v>
      </c>
      <c r="E2">
        <v>1400</v>
      </c>
      <c r="F2">
        <v>1500</v>
      </c>
      <c r="G2">
        <v>1450</v>
      </c>
      <c r="H2">
        <v>1550</v>
      </c>
      <c r="I2">
        <v>1600</v>
      </c>
      <c r="J2">
        <v>1650</v>
      </c>
      <c r="K2">
        <v>1700</v>
      </c>
      <c r="L2">
        <v>1750</v>
      </c>
      <c r="M2">
        <v>1800</v>
      </c>
    </row>
    <row r="3" spans="1:13" x14ac:dyDescent="0.25">
      <c r="A3" s="16" t="s">
        <v>159</v>
      </c>
      <c r="B3">
        <v>1000</v>
      </c>
      <c r="C3">
        <v>1100</v>
      </c>
      <c r="D3">
        <v>1050</v>
      </c>
      <c r="E3">
        <v>1150</v>
      </c>
      <c r="F3">
        <v>1200</v>
      </c>
      <c r="G3">
        <v>1250</v>
      </c>
      <c r="H3">
        <v>1300</v>
      </c>
      <c r="I3">
        <v>1350</v>
      </c>
      <c r="J3">
        <v>1400</v>
      </c>
      <c r="K3">
        <v>1450</v>
      </c>
      <c r="L3">
        <v>1500</v>
      </c>
      <c r="M3">
        <v>1550</v>
      </c>
    </row>
    <row r="4" spans="1:13" x14ac:dyDescent="0.25">
      <c r="A4" s="16" t="s">
        <v>160</v>
      </c>
      <c r="B4">
        <v>2000</v>
      </c>
      <c r="C4">
        <v>2100</v>
      </c>
      <c r="D4">
        <v>2050</v>
      </c>
      <c r="E4">
        <v>2150</v>
      </c>
      <c r="F4">
        <v>2200</v>
      </c>
      <c r="G4">
        <v>2250</v>
      </c>
      <c r="H4">
        <v>2300</v>
      </c>
      <c r="I4">
        <v>2350</v>
      </c>
      <c r="J4">
        <v>2400</v>
      </c>
      <c r="K4">
        <v>2450</v>
      </c>
      <c r="L4">
        <v>2500</v>
      </c>
      <c r="M4">
        <v>2550</v>
      </c>
    </row>
    <row r="5" spans="1:13" x14ac:dyDescent="0.25">
      <c r="A5" s="16" t="s">
        <v>161</v>
      </c>
      <c r="B5">
        <v>1500</v>
      </c>
      <c r="C5">
        <v>1600</v>
      </c>
      <c r="D5">
        <v>1550</v>
      </c>
      <c r="E5">
        <v>1650</v>
      </c>
      <c r="F5">
        <v>1700</v>
      </c>
      <c r="G5">
        <v>1750</v>
      </c>
      <c r="H5">
        <v>1800</v>
      </c>
      <c r="I5">
        <v>1850</v>
      </c>
      <c r="J5">
        <v>1900</v>
      </c>
      <c r="K5">
        <v>1950</v>
      </c>
      <c r="L5">
        <v>2000</v>
      </c>
      <c r="M5">
        <v>2050</v>
      </c>
    </row>
    <row r="6" spans="1:13" x14ac:dyDescent="0.25">
      <c r="A6" s="16" t="s">
        <v>162</v>
      </c>
      <c r="B6">
        <v>1100</v>
      </c>
      <c r="C6">
        <v>1200</v>
      </c>
      <c r="D6">
        <v>1150</v>
      </c>
      <c r="E6">
        <v>1250</v>
      </c>
      <c r="F6">
        <v>1300</v>
      </c>
      <c r="G6">
        <v>1350</v>
      </c>
      <c r="H6">
        <v>1400</v>
      </c>
      <c r="I6">
        <v>1450</v>
      </c>
      <c r="J6">
        <v>1500</v>
      </c>
      <c r="K6">
        <v>1550</v>
      </c>
      <c r="L6">
        <v>1600</v>
      </c>
      <c r="M6">
        <v>1650</v>
      </c>
    </row>
    <row r="7" spans="1:13" x14ac:dyDescent="0.25">
      <c r="A7" s="16" t="s">
        <v>163</v>
      </c>
      <c r="B7">
        <v>1800</v>
      </c>
      <c r="C7">
        <v>1900</v>
      </c>
      <c r="D7">
        <v>1850</v>
      </c>
      <c r="E7">
        <v>1950</v>
      </c>
      <c r="F7">
        <v>2000</v>
      </c>
      <c r="G7">
        <v>2050</v>
      </c>
      <c r="H7">
        <v>2100</v>
      </c>
      <c r="I7">
        <v>2150</v>
      </c>
      <c r="J7">
        <v>2200</v>
      </c>
      <c r="K7">
        <v>2250</v>
      </c>
      <c r="L7">
        <v>2300</v>
      </c>
      <c r="M7">
        <v>2350</v>
      </c>
    </row>
    <row r="8" spans="1:13" x14ac:dyDescent="0.25">
      <c r="A8" s="16" t="s">
        <v>164</v>
      </c>
      <c r="B8">
        <v>1300</v>
      </c>
      <c r="C8">
        <v>1400</v>
      </c>
      <c r="D8">
        <v>1350</v>
      </c>
      <c r="E8">
        <v>1450</v>
      </c>
      <c r="F8">
        <v>1500</v>
      </c>
      <c r="G8">
        <v>1550</v>
      </c>
      <c r="H8">
        <v>1600</v>
      </c>
      <c r="I8">
        <v>1650</v>
      </c>
      <c r="J8">
        <v>1700</v>
      </c>
      <c r="K8">
        <v>1750</v>
      </c>
      <c r="L8">
        <v>1800</v>
      </c>
      <c r="M8">
        <v>1850</v>
      </c>
    </row>
    <row r="9" spans="1:13" x14ac:dyDescent="0.25">
      <c r="A9" s="16" t="s">
        <v>165</v>
      </c>
      <c r="B9">
        <v>1700</v>
      </c>
      <c r="C9">
        <v>1800</v>
      </c>
      <c r="D9">
        <v>1750</v>
      </c>
      <c r="E9">
        <v>1850</v>
      </c>
      <c r="F9">
        <v>1900</v>
      </c>
      <c r="G9">
        <v>1950</v>
      </c>
      <c r="H9">
        <v>2000</v>
      </c>
      <c r="I9">
        <v>2050</v>
      </c>
      <c r="J9">
        <v>2100</v>
      </c>
      <c r="K9">
        <v>2150</v>
      </c>
      <c r="L9">
        <v>2200</v>
      </c>
      <c r="M9">
        <v>2250</v>
      </c>
    </row>
    <row r="10" spans="1:13" x14ac:dyDescent="0.25">
      <c r="A10" s="16" t="s">
        <v>166</v>
      </c>
      <c r="B10">
        <v>1400</v>
      </c>
      <c r="C10">
        <v>1500</v>
      </c>
      <c r="D10">
        <v>1450</v>
      </c>
      <c r="E10">
        <v>1550</v>
      </c>
      <c r="F10">
        <v>1600</v>
      </c>
      <c r="G10">
        <v>1650</v>
      </c>
      <c r="H10">
        <v>1700</v>
      </c>
      <c r="I10">
        <v>1750</v>
      </c>
      <c r="J10">
        <v>1800</v>
      </c>
      <c r="K10">
        <v>1850</v>
      </c>
      <c r="L10">
        <v>1900</v>
      </c>
      <c r="M10">
        <v>1950</v>
      </c>
    </row>
    <row r="11" spans="1:13" x14ac:dyDescent="0.25">
      <c r="A11" s="16" t="s">
        <v>167</v>
      </c>
      <c r="B11">
        <v>1600</v>
      </c>
      <c r="C11">
        <v>1700</v>
      </c>
      <c r="D11">
        <v>1650</v>
      </c>
      <c r="E11">
        <v>1750</v>
      </c>
      <c r="F11">
        <v>1800</v>
      </c>
      <c r="G11">
        <v>1850</v>
      </c>
      <c r="H11">
        <v>1900</v>
      </c>
      <c r="I11">
        <v>1950</v>
      </c>
      <c r="J11">
        <v>1950</v>
      </c>
      <c r="K11">
        <v>2050</v>
      </c>
      <c r="L11">
        <v>2100</v>
      </c>
      <c r="M11">
        <v>2150</v>
      </c>
    </row>
    <row r="12" spans="1:13" x14ac:dyDescent="0.25">
      <c r="A12" s="16"/>
    </row>
    <row r="13" spans="1:13" x14ac:dyDescent="0.25">
      <c r="A13" s="16" t="s">
        <v>180</v>
      </c>
      <c r="C13">
        <f>STDEV(B2:M11)</f>
        <v>348.99214634040561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B16" sqref="B16"/>
    </sheetView>
  </sheetViews>
  <sheetFormatPr defaultRowHeight="15" x14ac:dyDescent="0.25"/>
  <sheetData>
    <row r="1" spans="1:3" x14ac:dyDescent="0.25">
      <c r="A1" t="s">
        <v>2</v>
      </c>
      <c r="B1" t="s">
        <v>181</v>
      </c>
      <c r="C1" t="s">
        <v>182</v>
      </c>
    </row>
    <row r="2" spans="1:3" x14ac:dyDescent="0.25">
      <c r="A2" t="s">
        <v>183</v>
      </c>
      <c r="B2" t="s">
        <v>184</v>
      </c>
      <c r="C2" s="19">
        <v>1500000</v>
      </c>
    </row>
    <row r="3" spans="1:3" x14ac:dyDescent="0.25">
      <c r="A3" t="s">
        <v>114</v>
      </c>
      <c r="B3" t="s">
        <v>184</v>
      </c>
      <c r="C3" s="19">
        <v>1250000</v>
      </c>
    </row>
    <row r="4" spans="1:3" x14ac:dyDescent="0.25">
      <c r="A4" t="s">
        <v>5</v>
      </c>
      <c r="B4" t="s">
        <v>184</v>
      </c>
      <c r="C4" s="19">
        <v>1800000</v>
      </c>
    </row>
    <row r="5" spans="1:3" x14ac:dyDescent="0.25">
      <c r="A5" t="s">
        <v>8</v>
      </c>
      <c r="B5" t="s">
        <v>184</v>
      </c>
      <c r="C5" s="19">
        <v>1400000</v>
      </c>
    </row>
    <row r="6" spans="1:3" x14ac:dyDescent="0.25">
      <c r="A6" s="16" t="s">
        <v>183</v>
      </c>
      <c r="B6" t="s">
        <v>185</v>
      </c>
      <c r="C6" s="19">
        <v>2200000</v>
      </c>
    </row>
    <row r="7" spans="1:3" x14ac:dyDescent="0.25">
      <c r="A7" s="16" t="s">
        <v>114</v>
      </c>
      <c r="B7" t="s">
        <v>185</v>
      </c>
      <c r="C7" s="19">
        <v>2450000</v>
      </c>
    </row>
    <row r="8" spans="1:3" x14ac:dyDescent="0.25">
      <c r="A8" s="16" t="s">
        <v>5</v>
      </c>
      <c r="B8" t="s">
        <v>185</v>
      </c>
      <c r="C8" s="19">
        <v>2000000</v>
      </c>
    </row>
    <row r="9" spans="1:3" x14ac:dyDescent="0.25">
      <c r="A9" s="16" t="s">
        <v>8</v>
      </c>
      <c r="B9" t="s">
        <v>185</v>
      </c>
      <c r="C9" s="19">
        <v>2300000</v>
      </c>
    </row>
    <row r="10" spans="1:3" x14ac:dyDescent="0.25">
      <c r="A10" s="16" t="s">
        <v>183</v>
      </c>
      <c r="B10" t="s">
        <v>186</v>
      </c>
      <c r="C10" s="19">
        <v>3000000</v>
      </c>
    </row>
    <row r="11" spans="1:3" x14ac:dyDescent="0.25">
      <c r="A11" s="16" t="s">
        <v>114</v>
      </c>
      <c r="B11" t="s">
        <v>186</v>
      </c>
      <c r="C11" s="19">
        <v>2800000</v>
      </c>
    </row>
    <row r="12" spans="1:3" x14ac:dyDescent="0.25">
      <c r="A12" s="16" t="s">
        <v>5</v>
      </c>
      <c r="B12" t="s">
        <v>186</v>
      </c>
      <c r="C12" s="19">
        <v>2750000</v>
      </c>
    </row>
    <row r="13" spans="1:3" x14ac:dyDescent="0.25">
      <c r="A13" s="16" t="s">
        <v>8</v>
      </c>
      <c r="B13" t="s">
        <v>186</v>
      </c>
      <c r="C13" s="19">
        <v>3100000</v>
      </c>
    </row>
    <row r="15" spans="1:3" x14ac:dyDescent="0.25">
      <c r="A15" t="s">
        <v>51</v>
      </c>
      <c r="B15" t="str">
        <f t="array" ref="B15">INDEX(A2:A13,MATCH(MAX(IF(B2:B13="Display Ads",C2:C13)),C2:C13,0))</f>
        <v>East</v>
      </c>
      <c r="C15" t="str">
        <f t="array" ref="C15">INDEX(A2:A13,MATCH(MAX(IF(B2:B13="Video Ads",C2:C13)),C2:C13,0))</f>
        <v>South</v>
      </c>
    </row>
    <row r="16" spans="1:3" x14ac:dyDescent="0.25">
      <c r="B16" s="16" t="str">
        <f t="array" ref="B16">INDEX(A2:A13,MATCH(MIN(IF(B2:B13="Display Ads",C2:C13)),C2:C13,0))</f>
        <v>South</v>
      </c>
      <c r="C16" s="16" t="str">
        <f t="array" ref="C16">INDEX(A2:A13,MATCH(MIN(IF(B2:B13="Video Ads",C2:C13)),C2:C13,0))</f>
        <v>East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C2" sqref="C2"/>
    </sheetView>
  </sheetViews>
  <sheetFormatPr defaultRowHeight="15" x14ac:dyDescent="0.25"/>
  <cols>
    <col min="3" max="3" width="12.7109375" customWidth="1"/>
  </cols>
  <sheetData>
    <row r="1" spans="1:5" x14ac:dyDescent="0.25">
      <c r="A1" t="s">
        <v>187</v>
      </c>
      <c r="B1" t="s">
        <v>74</v>
      </c>
      <c r="C1" t="s">
        <v>188</v>
      </c>
      <c r="E1" s="16" t="s">
        <v>188</v>
      </c>
    </row>
    <row r="2" spans="1:5" x14ac:dyDescent="0.25">
      <c r="A2" t="s">
        <v>158</v>
      </c>
      <c r="B2" t="s">
        <v>189</v>
      </c>
      <c r="C2" t="str">
        <f ca="1">CHOOSE(RANDBETWEEN(1,3),"10%","15%","20%")</f>
        <v>15%</v>
      </c>
      <c r="D2">
        <f ca="1">RAND()</f>
        <v>0.82239992571635401</v>
      </c>
      <c r="E2" t="str">
        <f ca="1">IF(D2&lt;=0.33,"10%",IF(D2&lt;=0.66,"15%","20%"))</f>
        <v>20%</v>
      </c>
    </row>
    <row r="3" spans="1:5" x14ac:dyDescent="0.25">
      <c r="A3" t="s">
        <v>159</v>
      </c>
      <c r="B3" t="s">
        <v>190</v>
      </c>
      <c r="C3" s="16" t="str">
        <f t="shared" ref="C3:C11" ca="1" si="0">CHOOSE(RANDBETWEEN(1,3),"10%","15%","20%")</f>
        <v>15%</v>
      </c>
      <c r="D3" s="16">
        <f t="shared" ref="D3:D11" ca="1" si="1">RAND()</f>
        <v>0.18354362609901287</v>
      </c>
      <c r="E3" s="16" t="str">
        <f t="shared" ref="E3:E11" ca="1" si="2">IF(D3&lt;=0.33,"10%",IF(D3&lt;=0.66,"15%","20%"))</f>
        <v>10%</v>
      </c>
    </row>
    <row r="4" spans="1:5" x14ac:dyDescent="0.25">
      <c r="A4" s="16" t="s">
        <v>160</v>
      </c>
      <c r="B4" t="s">
        <v>191</v>
      </c>
      <c r="C4" s="16" t="str">
        <f t="shared" ca="1" si="0"/>
        <v>15%</v>
      </c>
      <c r="D4" s="16">
        <f t="shared" ca="1" si="1"/>
        <v>0.42614160317056504</v>
      </c>
      <c r="E4" s="16" t="str">
        <f t="shared" ca="1" si="2"/>
        <v>15%</v>
      </c>
    </row>
    <row r="5" spans="1:5" x14ac:dyDescent="0.25">
      <c r="A5" s="16" t="s">
        <v>161</v>
      </c>
      <c r="B5" t="s">
        <v>192</v>
      </c>
      <c r="C5" s="16" t="str">
        <f t="shared" ca="1" si="0"/>
        <v>10%</v>
      </c>
      <c r="D5" s="16">
        <f t="shared" ca="1" si="1"/>
        <v>0.54236006682542315</v>
      </c>
      <c r="E5" s="16" t="str">
        <f t="shared" ca="1" si="2"/>
        <v>15%</v>
      </c>
    </row>
    <row r="6" spans="1:5" x14ac:dyDescent="0.25">
      <c r="A6" s="16" t="s">
        <v>162</v>
      </c>
      <c r="B6" t="s">
        <v>193</v>
      </c>
      <c r="C6" s="16" t="str">
        <f t="shared" ca="1" si="0"/>
        <v>20%</v>
      </c>
      <c r="D6" s="16">
        <f t="shared" ca="1" si="1"/>
        <v>0.95710414046626113</v>
      </c>
      <c r="E6" s="16" t="str">
        <f t="shared" ca="1" si="2"/>
        <v>20%</v>
      </c>
    </row>
    <row r="7" spans="1:5" x14ac:dyDescent="0.25">
      <c r="A7" s="16" t="s">
        <v>163</v>
      </c>
      <c r="B7" t="s">
        <v>194</v>
      </c>
      <c r="C7" s="16" t="str">
        <f t="shared" ca="1" si="0"/>
        <v>15%</v>
      </c>
      <c r="D7" s="16">
        <f t="shared" ca="1" si="1"/>
        <v>0.57254336148930607</v>
      </c>
      <c r="E7" s="16" t="str">
        <f t="shared" ca="1" si="2"/>
        <v>15%</v>
      </c>
    </row>
    <row r="8" spans="1:5" x14ac:dyDescent="0.25">
      <c r="A8" s="16" t="s">
        <v>164</v>
      </c>
      <c r="B8" t="s">
        <v>195</v>
      </c>
      <c r="C8" s="16" t="str">
        <f t="shared" ca="1" si="0"/>
        <v>15%</v>
      </c>
      <c r="D8" s="16">
        <f t="shared" ca="1" si="1"/>
        <v>0.43587733553172314</v>
      </c>
      <c r="E8" s="16" t="str">
        <f t="shared" ca="1" si="2"/>
        <v>15%</v>
      </c>
    </row>
    <row r="9" spans="1:5" x14ac:dyDescent="0.25">
      <c r="A9" s="16" t="s">
        <v>165</v>
      </c>
      <c r="B9" t="s">
        <v>196</v>
      </c>
      <c r="C9" s="16" t="str">
        <f t="shared" ca="1" si="0"/>
        <v>20%</v>
      </c>
      <c r="D9" s="16">
        <f t="shared" ca="1" si="1"/>
        <v>0.45937704230358334</v>
      </c>
      <c r="E9" s="16" t="str">
        <f t="shared" ca="1" si="2"/>
        <v>15%</v>
      </c>
    </row>
    <row r="10" spans="1:5" x14ac:dyDescent="0.25">
      <c r="A10" s="16" t="s">
        <v>166</v>
      </c>
      <c r="B10" t="s">
        <v>197</v>
      </c>
      <c r="C10" s="16" t="str">
        <f t="shared" ca="1" si="0"/>
        <v>15%</v>
      </c>
      <c r="D10" s="16">
        <f t="shared" ca="1" si="1"/>
        <v>0.26712928141785963</v>
      </c>
      <c r="E10" s="16" t="str">
        <f t="shared" ca="1" si="2"/>
        <v>10%</v>
      </c>
    </row>
    <row r="11" spans="1:5" x14ac:dyDescent="0.25">
      <c r="A11" s="16" t="s">
        <v>167</v>
      </c>
      <c r="B11" t="s">
        <v>198</v>
      </c>
      <c r="C11" s="16" t="str">
        <f t="shared" ca="1" si="0"/>
        <v>10%</v>
      </c>
      <c r="D11" s="16">
        <f t="shared" ca="1" si="1"/>
        <v>0.54987348911563405</v>
      </c>
      <c r="E11" s="16" t="str">
        <f t="shared" ca="1" si="2"/>
        <v>15%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B28" sqref="B28"/>
    </sheetView>
  </sheetViews>
  <sheetFormatPr defaultRowHeight="15" x14ac:dyDescent="0.25"/>
  <cols>
    <col min="2" max="2" width="41.28515625" customWidth="1"/>
    <col min="3" max="3" width="13.28515625" customWidth="1"/>
  </cols>
  <sheetData>
    <row r="1" spans="1:4" x14ac:dyDescent="0.25">
      <c r="A1" t="s">
        <v>199</v>
      </c>
      <c r="B1" t="s">
        <v>200</v>
      </c>
      <c r="C1" t="s">
        <v>201</v>
      </c>
    </row>
    <row r="2" spans="1:4" x14ac:dyDescent="0.25">
      <c r="A2" t="s">
        <v>202</v>
      </c>
      <c r="B2" t="s">
        <v>211</v>
      </c>
      <c r="C2" t="str">
        <f>IF(LEN(A2)=11,"Valid Code","Invalid Code")</f>
        <v>Valid Code</v>
      </c>
      <c r="D2" t="b">
        <f>IFERROR(LEN(A2)&lt;&gt;11,"Invalid Code")</f>
        <v>0</v>
      </c>
    </row>
    <row r="3" spans="1:4" x14ac:dyDescent="0.25">
      <c r="A3" t="s">
        <v>203</v>
      </c>
      <c r="B3" t="s">
        <v>212</v>
      </c>
      <c r="C3" s="16" t="str">
        <f t="shared" ref="C3:C7" si="0">IF(LEN(A3)=11,"Valid Code","Invalid Code")</f>
        <v>Invalid Code</v>
      </c>
      <c r="D3" s="16" t="b">
        <f t="shared" ref="D3:D7" si="1">IFERROR(LEN(A3)&lt;&gt;11,"Invalid Code")</f>
        <v>1</v>
      </c>
    </row>
    <row r="4" spans="1:4" x14ac:dyDescent="0.25">
      <c r="A4" t="s">
        <v>204</v>
      </c>
      <c r="B4" t="s">
        <v>213</v>
      </c>
      <c r="C4" s="16" t="str">
        <f t="shared" si="0"/>
        <v>Valid Code</v>
      </c>
      <c r="D4" s="16" t="b">
        <f t="shared" si="1"/>
        <v>0</v>
      </c>
    </row>
    <row r="5" spans="1:4" x14ac:dyDescent="0.25">
      <c r="A5" t="s">
        <v>205</v>
      </c>
      <c r="B5" t="s">
        <v>209</v>
      </c>
      <c r="C5" s="16" t="str">
        <f t="shared" si="0"/>
        <v>Invalid Code</v>
      </c>
      <c r="D5" s="16" t="b">
        <f t="shared" si="1"/>
        <v>1</v>
      </c>
    </row>
    <row r="6" spans="1:4" x14ac:dyDescent="0.25">
      <c r="A6" t="s">
        <v>206</v>
      </c>
      <c r="B6" t="s">
        <v>210</v>
      </c>
      <c r="C6" s="16" t="str">
        <f t="shared" si="0"/>
        <v>Invalid Code</v>
      </c>
      <c r="D6" s="16" t="b">
        <f t="shared" si="1"/>
        <v>1</v>
      </c>
    </row>
    <row r="7" spans="1:4" x14ac:dyDescent="0.25">
      <c r="A7" t="s">
        <v>207</v>
      </c>
      <c r="B7" t="s">
        <v>208</v>
      </c>
      <c r="C7" s="16" t="str">
        <f t="shared" si="0"/>
        <v>Invalid Code</v>
      </c>
      <c r="D7" s="16" t="b">
        <f t="shared" si="1"/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F21" sqref="F21"/>
    </sheetView>
  </sheetViews>
  <sheetFormatPr defaultRowHeight="15" x14ac:dyDescent="0.25"/>
  <cols>
    <col min="2" max="2" width="11.7109375" customWidth="1"/>
    <col min="4" max="4" width="11.28515625" customWidth="1"/>
    <col min="5" max="5" width="13.5703125" customWidth="1"/>
  </cols>
  <sheetData>
    <row r="1" spans="1:6" x14ac:dyDescent="0.25">
      <c r="A1" t="s">
        <v>219</v>
      </c>
      <c r="B1" s="24"/>
    </row>
    <row r="2" spans="1:6" x14ac:dyDescent="0.25">
      <c r="A2" t="s">
        <v>220</v>
      </c>
      <c r="B2" t="s">
        <v>221</v>
      </c>
      <c r="C2" t="s">
        <v>222</v>
      </c>
    </row>
    <row r="3" spans="1:6" x14ac:dyDescent="0.25">
      <c r="A3">
        <v>1001</v>
      </c>
      <c r="B3" t="s">
        <v>223</v>
      </c>
      <c r="C3">
        <v>50000</v>
      </c>
    </row>
    <row r="4" spans="1:6" x14ac:dyDescent="0.25">
      <c r="A4">
        <v>1001</v>
      </c>
      <c r="B4" t="s">
        <v>224</v>
      </c>
      <c r="C4">
        <v>20000</v>
      </c>
    </row>
    <row r="5" spans="1:6" x14ac:dyDescent="0.25">
      <c r="A5">
        <v>1001</v>
      </c>
      <c r="B5" t="s">
        <v>225</v>
      </c>
      <c r="C5">
        <v>30000</v>
      </c>
    </row>
    <row r="6" spans="1:6" x14ac:dyDescent="0.25">
      <c r="A6">
        <v>1002</v>
      </c>
      <c r="B6" s="16" t="s">
        <v>223</v>
      </c>
      <c r="C6">
        <v>70000</v>
      </c>
    </row>
    <row r="7" spans="1:6" x14ac:dyDescent="0.25">
      <c r="A7">
        <v>1002</v>
      </c>
      <c r="B7" s="16" t="s">
        <v>224</v>
      </c>
      <c r="C7">
        <v>40000</v>
      </c>
    </row>
    <row r="8" spans="1:6" x14ac:dyDescent="0.25">
      <c r="A8">
        <v>1002</v>
      </c>
      <c r="B8" s="16" t="s">
        <v>226</v>
      </c>
      <c r="C8">
        <v>25000</v>
      </c>
    </row>
    <row r="9" spans="1:6" x14ac:dyDescent="0.25">
      <c r="A9">
        <v>1003</v>
      </c>
      <c r="B9" s="16" t="s">
        <v>225</v>
      </c>
      <c r="C9">
        <v>60000</v>
      </c>
    </row>
    <row r="10" spans="1:6" x14ac:dyDescent="0.25">
      <c r="A10">
        <v>1003</v>
      </c>
      <c r="B10" s="16" t="s">
        <v>223</v>
      </c>
      <c r="C10">
        <v>50000</v>
      </c>
    </row>
    <row r="11" spans="1:6" x14ac:dyDescent="0.25">
      <c r="A11">
        <v>1003</v>
      </c>
      <c r="B11" s="16" t="s">
        <v>224</v>
      </c>
      <c r="C11">
        <v>35000</v>
      </c>
    </row>
    <row r="13" spans="1:6" x14ac:dyDescent="0.25">
      <c r="A13" t="s">
        <v>227</v>
      </c>
    </row>
    <row r="14" spans="1:6" x14ac:dyDescent="0.25">
      <c r="A14" t="s">
        <v>228</v>
      </c>
      <c r="B14" t="s">
        <v>223</v>
      </c>
      <c r="C14" t="s">
        <v>224</v>
      </c>
      <c r="D14" t="s">
        <v>225</v>
      </c>
      <c r="E14" t="s">
        <v>226</v>
      </c>
      <c r="F14" t="s">
        <v>229</v>
      </c>
    </row>
    <row r="15" spans="1:6" x14ac:dyDescent="0.25">
      <c r="A15">
        <v>1001</v>
      </c>
      <c r="B15">
        <f t="array" ref="B15">INDEX(C2:C11, MATCH(1, (A2:A11=A15)*(B2:B11=B14), 0))</f>
        <v>50000</v>
      </c>
      <c r="C15" s="16">
        <f t="array" ref="C15">INDEX(C2:C11, MATCH(1, (A2:A11=A15)*(B2:B11=C14), 0))</f>
        <v>20000</v>
      </c>
      <c r="D15" s="16">
        <f t="array" ref="D15">INDEX(C2:C11, MATCH(1, (A2:A11=A15)*(B2:B11=D14), 0))</f>
        <v>30000</v>
      </c>
      <c r="E15" s="16" t="e">
        <f t="array" ref="E15">INDEX(C2:C11, MATCH(1, (A2:A11=A15)*(B2:B11=E14), 0))</f>
        <v>#N/A</v>
      </c>
    </row>
    <row r="16" spans="1:6" x14ac:dyDescent="0.25">
      <c r="A16">
        <v>1002</v>
      </c>
      <c r="B16" s="16">
        <f t="array" ref="B16">INDEX(C2:C11, MATCH(1, (A2:A11=A16)*(B2:B11=B14), 0))</f>
        <v>70000</v>
      </c>
      <c r="C16" s="16">
        <f t="array" ref="C16">INDEX(C2:C11, MATCH(1, (A2:A11=A16)*(B2:B11=C14), 0))</f>
        <v>40000</v>
      </c>
      <c r="D16" s="16" t="e">
        <f t="array" ref="D16">INDEX(C2:C11, MATCH(1, (A2:A11=A16)*(B2:B11=D14), 0))</f>
        <v>#N/A</v>
      </c>
      <c r="E16" s="16">
        <f t="array" ref="E16">INDEX(C2:C11, MATCH(1, (A2:A11=A16)*(B2:B11=E14), 0))</f>
        <v>25000</v>
      </c>
    </row>
    <row r="17" spans="1:5" x14ac:dyDescent="0.25">
      <c r="A17">
        <v>1003</v>
      </c>
      <c r="B17" s="16">
        <f t="array" ref="B17">INDEX(C2:C12, MATCH(1, (A2:A12=A17)*(B2:B12=B14), 0))</f>
        <v>50000</v>
      </c>
      <c r="C17" s="16">
        <f t="array" ref="C17">INDEX(C2:C11, MATCH(1, (A2:A11=A17)*(B2:B11=C14), 0))</f>
        <v>35000</v>
      </c>
      <c r="D17" s="16">
        <f t="array" ref="D17">INDEX(C2:C11, MATCH(1, (A2:A11=A17)*(B2:B11=D14), 0))</f>
        <v>60000</v>
      </c>
      <c r="E17" s="16" t="e">
        <f t="array" ref="E17">INDEX(C2:C12, MATCH(1, (A2:A12=A17)*(B3:B12=E14), 0))</f>
        <v>#N/A</v>
      </c>
    </row>
    <row r="19" spans="1:5" x14ac:dyDescent="0.25">
      <c r="A19" t="s">
        <v>230</v>
      </c>
    </row>
    <row r="20" spans="1:5" x14ac:dyDescent="0.25">
      <c r="A20" t="s">
        <v>228</v>
      </c>
      <c r="B20" t="s">
        <v>231</v>
      </c>
      <c r="C20" t="s">
        <v>222</v>
      </c>
    </row>
    <row r="21" spans="1:5" x14ac:dyDescent="0.25">
      <c r="A21">
        <v>1003</v>
      </c>
      <c r="B21" t="s">
        <v>224</v>
      </c>
      <c r="C21">
        <f>VLOOKUP(A21,A2:C11,3)</f>
        <v>35000</v>
      </c>
    </row>
  </sheetData>
  <pageMargins left="0.7" right="0.7" top="0.75" bottom="0.75" header="0.3" footer="0.3"/>
  <ignoredErrors>
    <ignoredError sqref="D15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4" sqref="B4"/>
    </sheetView>
  </sheetViews>
  <sheetFormatPr defaultRowHeight="15" x14ac:dyDescent="0.25"/>
  <cols>
    <col min="1" max="1" width="23.42578125" customWidth="1"/>
  </cols>
  <sheetData>
    <row r="1" spans="1:2" x14ac:dyDescent="0.25">
      <c r="A1" t="s">
        <v>232</v>
      </c>
      <c r="B1" t="s">
        <v>238</v>
      </c>
    </row>
    <row r="2" spans="1:2" x14ac:dyDescent="0.25">
      <c r="A2" s="25" t="s">
        <v>233</v>
      </c>
      <c r="B2" t="str">
        <f>SUBSTITUTE(LEFT(A2,FIND("@",A2)-1),".","") &amp; MID(A2,FIND("@",A2),LEN(A2))</f>
        <v>johndoe@gmail.com</v>
      </c>
    </row>
    <row r="3" spans="1:2" x14ac:dyDescent="0.25">
      <c r="A3" s="25" t="s">
        <v>234</v>
      </c>
      <c r="B3" t="str">
        <f>SUBSTITUTE(LEFT(A3,FIND("@",A3)-1),".","")&amp; MID(A3,FIND("@",A3),LEN(A3))</f>
        <v>janesmith@gmail.com</v>
      </c>
    </row>
    <row r="4" spans="1:2" x14ac:dyDescent="0.25">
      <c r="A4" s="25" t="s">
        <v>235</v>
      </c>
      <c r="B4" s="16" t="str">
        <f t="shared" ref="B4:B6" si="0">SUBSTITUTE(LEFT(A4,FIND("@",A4)-1),".","")&amp; MID(A4,FIND("@",A4),LEN(A4))</f>
        <v>johndoe@gmail.com</v>
      </c>
    </row>
    <row r="5" spans="1:2" x14ac:dyDescent="0.25">
      <c r="A5" s="25" t="s">
        <v>236</v>
      </c>
      <c r="B5" s="16" t="str">
        <f t="shared" si="0"/>
        <v>janesmith@gmail.com</v>
      </c>
    </row>
    <row r="6" spans="1:2" x14ac:dyDescent="0.25">
      <c r="A6" s="25" t="s">
        <v>237</v>
      </c>
      <c r="B6" s="16" t="str">
        <f t="shared" si="0"/>
        <v>markparker@yahoo.com</v>
      </c>
    </row>
  </sheetData>
  <hyperlinks>
    <hyperlink ref="A2" r:id="rId1"/>
    <hyperlink ref="A3" r:id="rId2"/>
    <hyperlink ref="A4" r:id="rId3"/>
    <hyperlink ref="A5" r:id="rId4"/>
    <hyperlink ref="A6" r:id="rId5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D24" sqref="D24"/>
    </sheetView>
  </sheetViews>
  <sheetFormatPr defaultRowHeight="15" x14ac:dyDescent="0.25"/>
  <sheetData>
    <row r="1" spans="1:3" x14ac:dyDescent="0.25">
      <c r="A1" t="s">
        <v>239</v>
      </c>
      <c r="B1" t="s">
        <v>240</v>
      </c>
      <c r="C1" t="s">
        <v>241</v>
      </c>
    </row>
    <row r="2" spans="1:3" x14ac:dyDescent="0.25">
      <c r="A2">
        <v>1001</v>
      </c>
      <c r="B2" t="s">
        <v>242</v>
      </c>
      <c r="C2" s="19">
        <v>500000</v>
      </c>
    </row>
    <row r="3" spans="1:3" x14ac:dyDescent="0.25">
      <c r="A3" s="16">
        <v>1002</v>
      </c>
      <c r="B3" t="s">
        <v>243</v>
      </c>
      <c r="C3" s="19">
        <v>1200000</v>
      </c>
    </row>
    <row r="4" spans="1:3" x14ac:dyDescent="0.25">
      <c r="A4" s="16">
        <v>1003</v>
      </c>
      <c r="B4" s="16" t="s">
        <v>242</v>
      </c>
      <c r="C4" s="19">
        <v>700000</v>
      </c>
    </row>
    <row r="5" spans="1:3" x14ac:dyDescent="0.25">
      <c r="A5" s="16">
        <v>1004</v>
      </c>
      <c r="B5" s="16" t="s">
        <v>243</v>
      </c>
      <c r="C5" s="19">
        <v>2000000</v>
      </c>
    </row>
    <row r="6" spans="1:3" x14ac:dyDescent="0.25">
      <c r="A6" s="16">
        <v>1005</v>
      </c>
      <c r="B6" t="s">
        <v>244</v>
      </c>
      <c r="C6" s="19">
        <v>300000</v>
      </c>
    </row>
    <row r="7" spans="1:3" x14ac:dyDescent="0.25">
      <c r="A7" s="16">
        <v>1006</v>
      </c>
      <c r="B7" s="16" t="s">
        <v>242</v>
      </c>
      <c r="C7" s="19">
        <v>450000</v>
      </c>
    </row>
    <row r="8" spans="1:3" x14ac:dyDescent="0.25">
      <c r="A8" s="16">
        <v>1007</v>
      </c>
      <c r="B8" s="16" t="s">
        <v>243</v>
      </c>
      <c r="C8" s="19">
        <v>1500000</v>
      </c>
    </row>
    <row r="9" spans="1:3" x14ac:dyDescent="0.25">
      <c r="A9" s="16">
        <v>1008</v>
      </c>
      <c r="B9" s="16" t="s">
        <v>244</v>
      </c>
      <c r="C9" s="19">
        <v>200000</v>
      </c>
    </row>
    <row r="10" spans="1:3" x14ac:dyDescent="0.25">
      <c r="A10" s="16">
        <v>1009</v>
      </c>
      <c r="B10" s="16" t="s">
        <v>242</v>
      </c>
      <c r="C10" s="19">
        <v>600000</v>
      </c>
    </row>
    <row r="11" spans="1:3" x14ac:dyDescent="0.25">
      <c r="A11" s="16">
        <v>1010</v>
      </c>
      <c r="B11" s="16" t="s">
        <v>243</v>
      </c>
      <c r="C11" s="19">
        <v>1800000</v>
      </c>
    </row>
    <row r="12" spans="1:3" x14ac:dyDescent="0.25">
      <c r="A12" s="16">
        <v>1011</v>
      </c>
      <c r="B12" s="16" t="s">
        <v>244</v>
      </c>
      <c r="C12" s="19">
        <v>400000</v>
      </c>
    </row>
    <row r="13" spans="1:3" x14ac:dyDescent="0.25">
      <c r="A13" s="16">
        <v>1012</v>
      </c>
      <c r="B13" s="16" t="s">
        <v>242</v>
      </c>
      <c r="C13" s="19">
        <v>550000</v>
      </c>
    </row>
    <row r="14" spans="1:3" x14ac:dyDescent="0.25">
      <c r="A14" s="16">
        <v>1013</v>
      </c>
      <c r="B14" s="16" t="s">
        <v>243</v>
      </c>
      <c r="C14" s="19">
        <v>2200000</v>
      </c>
    </row>
    <row r="15" spans="1:3" x14ac:dyDescent="0.25">
      <c r="A15" s="16">
        <v>1014</v>
      </c>
      <c r="B15" s="16" t="s">
        <v>242</v>
      </c>
      <c r="C15" s="19">
        <v>750000</v>
      </c>
    </row>
    <row r="16" spans="1:3" x14ac:dyDescent="0.25">
      <c r="A16" s="16">
        <v>1015</v>
      </c>
      <c r="B16" s="16" t="s">
        <v>243</v>
      </c>
      <c r="C16" s="19">
        <v>1900000</v>
      </c>
    </row>
    <row r="18" spans="1:5" x14ac:dyDescent="0.25">
      <c r="A18" t="s">
        <v>245</v>
      </c>
      <c r="E18">
        <f>SUMIF(B2:B16,"Personal",C2:C16)</f>
        <v>3550000</v>
      </c>
    </row>
    <row r="19" spans="1:5" x14ac:dyDescent="0.25">
      <c r="A19" s="16" t="s">
        <v>246</v>
      </c>
      <c r="E19" s="16">
        <f>SUMIF(B2:B16,"Personal",C2:C16)</f>
        <v>3550000</v>
      </c>
    </row>
    <row r="20" spans="1:5" x14ac:dyDescent="0.25">
      <c r="A20" s="16" t="s">
        <v>247</v>
      </c>
      <c r="E20" s="16">
        <f>SUMIF(B2:B16,"Education",C2:C16)</f>
        <v>900000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6" sqref="C6"/>
    </sheetView>
  </sheetViews>
  <sheetFormatPr defaultRowHeight="15" x14ac:dyDescent="0.25"/>
  <cols>
    <col min="1" max="1" width="11" bestFit="1" customWidth="1"/>
  </cols>
  <sheetData>
    <row r="1" spans="1:3" x14ac:dyDescent="0.25">
      <c r="A1" t="s">
        <v>248</v>
      </c>
      <c r="B1" t="s">
        <v>249</v>
      </c>
      <c r="C1" t="s">
        <v>250</v>
      </c>
    </row>
    <row r="2" spans="1:3" x14ac:dyDescent="0.25">
      <c r="A2">
        <v>1234567890</v>
      </c>
      <c r="B2">
        <v>8</v>
      </c>
      <c r="C2">
        <f>MOD(B2,3)+1</f>
        <v>3</v>
      </c>
    </row>
    <row r="3" spans="1:3" x14ac:dyDescent="0.25">
      <c r="A3">
        <v>9876543210</v>
      </c>
      <c r="B3">
        <v>22</v>
      </c>
      <c r="C3" s="16">
        <f t="shared" ref="C3:C4" si="0">MOD(B3,3)+1</f>
        <v>2</v>
      </c>
    </row>
    <row r="4" spans="1:3" x14ac:dyDescent="0.25">
      <c r="A4">
        <v>123456789</v>
      </c>
      <c r="B4">
        <v>36</v>
      </c>
      <c r="C4" s="16">
        <f t="shared" si="0"/>
        <v>1</v>
      </c>
    </row>
  </sheetData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B8" sqref="B8"/>
    </sheetView>
  </sheetViews>
  <sheetFormatPr defaultRowHeight="15" x14ac:dyDescent="0.25"/>
  <cols>
    <col min="2" max="2" width="10.42578125" bestFit="1" customWidth="1"/>
  </cols>
  <sheetData>
    <row r="1" spans="1:4" x14ac:dyDescent="0.25">
      <c r="A1" t="s">
        <v>251</v>
      </c>
      <c r="B1" t="s">
        <v>252</v>
      </c>
      <c r="C1" t="s">
        <v>253</v>
      </c>
      <c r="D1" t="s">
        <v>254</v>
      </c>
    </row>
    <row r="2" spans="1:4" x14ac:dyDescent="0.25">
      <c r="A2">
        <v>1</v>
      </c>
      <c r="B2" s="24">
        <v>44927</v>
      </c>
      <c r="C2" s="19">
        <v>50000</v>
      </c>
      <c r="D2">
        <f>MONTH(B2)</f>
        <v>1</v>
      </c>
    </row>
    <row r="3" spans="1:4" x14ac:dyDescent="0.25">
      <c r="A3" s="16">
        <v>2</v>
      </c>
      <c r="B3" s="24">
        <v>44941</v>
      </c>
      <c r="C3" s="19">
        <v>75000</v>
      </c>
      <c r="D3">
        <f>MONTH(B3)</f>
        <v>1</v>
      </c>
    </row>
    <row r="4" spans="1:4" x14ac:dyDescent="0.25">
      <c r="A4" s="16">
        <v>3</v>
      </c>
      <c r="B4" s="24">
        <v>44959</v>
      </c>
      <c r="C4" s="19">
        <v>60000</v>
      </c>
      <c r="D4">
        <f>MONTH(B4)</f>
        <v>2</v>
      </c>
    </row>
    <row r="5" spans="1:4" x14ac:dyDescent="0.25">
      <c r="A5" s="16">
        <v>4</v>
      </c>
      <c r="B5" s="24">
        <v>44975</v>
      </c>
      <c r="C5" s="19">
        <v>85000</v>
      </c>
      <c r="D5" s="16">
        <f t="shared" ref="D5:D7" si="0">MONTH(B5)</f>
        <v>2</v>
      </c>
    </row>
    <row r="6" spans="1:4" x14ac:dyDescent="0.25">
      <c r="A6" s="16">
        <v>5</v>
      </c>
      <c r="B6" s="24">
        <v>44990</v>
      </c>
      <c r="C6" s="19">
        <v>40000</v>
      </c>
      <c r="D6" s="16">
        <f t="shared" si="0"/>
        <v>3</v>
      </c>
    </row>
    <row r="7" spans="1:4" x14ac:dyDescent="0.25">
      <c r="A7" s="16">
        <v>6</v>
      </c>
      <c r="B7" s="24">
        <v>45006</v>
      </c>
      <c r="C7" s="19">
        <v>95000</v>
      </c>
      <c r="D7" s="16">
        <f t="shared" si="0"/>
        <v>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B17" sqref="B17"/>
    </sheetView>
  </sheetViews>
  <sheetFormatPr defaultRowHeight="15" x14ac:dyDescent="0.25"/>
  <sheetData>
    <row r="1" spans="1:3" x14ac:dyDescent="0.25">
      <c r="A1" t="s">
        <v>254</v>
      </c>
      <c r="B1" t="s">
        <v>262</v>
      </c>
      <c r="C1" t="s">
        <v>261</v>
      </c>
    </row>
    <row r="2" spans="1:3" x14ac:dyDescent="0.25">
      <c r="A2" t="s">
        <v>214</v>
      </c>
      <c r="B2">
        <v>50</v>
      </c>
      <c r="C2">
        <v>1.2</v>
      </c>
    </row>
    <row r="3" spans="1:3" x14ac:dyDescent="0.25">
      <c r="A3" t="s">
        <v>215</v>
      </c>
      <c r="B3">
        <v>55</v>
      </c>
      <c r="C3">
        <v>1.4</v>
      </c>
    </row>
    <row r="4" spans="1:3" x14ac:dyDescent="0.25">
      <c r="A4" t="s">
        <v>216</v>
      </c>
      <c r="B4">
        <v>60</v>
      </c>
      <c r="C4">
        <v>1.5</v>
      </c>
    </row>
    <row r="5" spans="1:3" x14ac:dyDescent="0.25">
      <c r="A5" t="s">
        <v>217</v>
      </c>
      <c r="B5">
        <v>65</v>
      </c>
      <c r="C5">
        <v>1.6</v>
      </c>
    </row>
    <row r="6" spans="1:3" x14ac:dyDescent="0.25">
      <c r="A6" s="16" t="s">
        <v>172</v>
      </c>
      <c r="B6">
        <v>70</v>
      </c>
      <c r="C6">
        <v>1.8</v>
      </c>
    </row>
    <row r="7" spans="1:3" x14ac:dyDescent="0.25">
      <c r="A7" s="16" t="s">
        <v>218</v>
      </c>
      <c r="B7">
        <v>75</v>
      </c>
      <c r="C7">
        <v>1.9</v>
      </c>
    </row>
    <row r="8" spans="1:3" x14ac:dyDescent="0.25">
      <c r="A8" s="16" t="s">
        <v>255</v>
      </c>
      <c r="B8">
        <v>80</v>
      </c>
      <c r="C8">
        <v>2</v>
      </c>
    </row>
    <row r="9" spans="1:3" x14ac:dyDescent="0.25">
      <c r="A9" s="16" t="s">
        <v>256</v>
      </c>
      <c r="B9">
        <v>85</v>
      </c>
      <c r="C9">
        <v>2.2000000000000002</v>
      </c>
    </row>
    <row r="10" spans="1:3" x14ac:dyDescent="0.25">
      <c r="A10" s="16" t="s">
        <v>257</v>
      </c>
      <c r="B10">
        <v>90</v>
      </c>
      <c r="C10">
        <v>2.2999999999999998</v>
      </c>
    </row>
    <row r="11" spans="1:3" x14ac:dyDescent="0.25">
      <c r="A11" s="16" t="s">
        <v>258</v>
      </c>
      <c r="B11">
        <v>95</v>
      </c>
      <c r="C11">
        <v>2.5</v>
      </c>
    </row>
    <row r="12" spans="1:3" x14ac:dyDescent="0.25">
      <c r="A12" s="16" t="s">
        <v>259</v>
      </c>
      <c r="B12">
        <v>100</v>
      </c>
      <c r="C12">
        <v>2.6</v>
      </c>
    </row>
    <row r="13" spans="1:3" x14ac:dyDescent="0.25">
      <c r="A13" s="16" t="s">
        <v>260</v>
      </c>
      <c r="B13">
        <v>105</v>
      </c>
      <c r="C13">
        <v>2.8</v>
      </c>
    </row>
    <row r="15" spans="1:3" x14ac:dyDescent="0.25">
      <c r="A15" t="s">
        <v>263</v>
      </c>
      <c r="B15">
        <f>+COVAR(B2:B13,C2:C13)</f>
        <v>8.375</v>
      </c>
    </row>
    <row r="16" spans="1:3" x14ac:dyDescent="0.25">
      <c r="A16" t="s">
        <v>264</v>
      </c>
      <c r="B16">
        <f>CORREL(B2:B13,C2:C13)</f>
        <v>0.99798470641305126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16" sqref="B16"/>
    </sheetView>
  </sheetViews>
  <sheetFormatPr defaultRowHeight="15" x14ac:dyDescent="0.25"/>
  <sheetData>
    <row r="1" spans="1:2" x14ac:dyDescent="0.25">
      <c r="A1" t="s">
        <v>149</v>
      </c>
      <c r="B1" t="s">
        <v>265</v>
      </c>
    </row>
    <row r="2" spans="1:2" x14ac:dyDescent="0.25">
      <c r="A2" t="s">
        <v>266</v>
      </c>
      <c r="B2">
        <v>3</v>
      </c>
    </row>
    <row r="3" spans="1:2" x14ac:dyDescent="0.25">
      <c r="A3" s="16" t="s">
        <v>267</v>
      </c>
      <c r="B3">
        <v>5</v>
      </c>
    </row>
    <row r="4" spans="1:2" x14ac:dyDescent="0.25">
      <c r="A4" s="16" t="s">
        <v>268</v>
      </c>
      <c r="B4">
        <v>2</v>
      </c>
    </row>
    <row r="5" spans="1:2" x14ac:dyDescent="0.25">
      <c r="A5" s="16" t="s">
        <v>269</v>
      </c>
      <c r="B5">
        <v>4</v>
      </c>
    </row>
    <row r="6" spans="1:2" x14ac:dyDescent="0.25">
      <c r="A6" s="16" t="s">
        <v>270</v>
      </c>
      <c r="B6">
        <v>6</v>
      </c>
    </row>
    <row r="7" spans="1:2" x14ac:dyDescent="0.25">
      <c r="A7" s="16" t="s">
        <v>271</v>
      </c>
      <c r="B7">
        <v>7</v>
      </c>
    </row>
    <row r="8" spans="1:2" x14ac:dyDescent="0.25">
      <c r="A8" s="16" t="s">
        <v>272</v>
      </c>
      <c r="B8">
        <v>5</v>
      </c>
    </row>
    <row r="9" spans="1:2" x14ac:dyDescent="0.25">
      <c r="A9" s="16" t="s">
        <v>273</v>
      </c>
      <c r="B9">
        <v>3</v>
      </c>
    </row>
    <row r="10" spans="1:2" x14ac:dyDescent="0.25">
      <c r="A10" s="16" t="s">
        <v>274</v>
      </c>
      <c r="B10">
        <v>4</v>
      </c>
    </row>
    <row r="11" spans="1:2" x14ac:dyDescent="0.25">
      <c r="A11" s="16" t="s">
        <v>275</v>
      </c>
      <c r="B11">
        <v>2</v>
      </c>
    </row>
    <row r="12" spans="1:2" x14ac:dyDescent="0.25">
      <c r="A12" s="16"/>
    </row>
    <row r="14" spans="1:2" x14ac:dyDescent="0.25">
      <c r="A14" t="s">
        <v>276</v>
      </c>
      <c r="B14">
        <f>MEDIAN(B2:B11)</f>
        <v>4</v>
      </c>
    </row>
    <row r="15" spans="1:2" x14ac:dyDescent="0.25">
      <c r="A15" t="s">
        <v>277</v>
      </c>
      <c r="B15">
        <f>AVERAGE(B2:B11)</f>
        <v>4.0999999999999996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F4" sqref="F4"/>
    </sheetView>
  </sheetViews>
  <sheetFormatPr defaultRowHeight="15" x14ac:dyDescent="0.25"/>
  <cols>
    <col min="5" max="5" width="16.42578125" customWidth="1"/>
  </cols>
  <sheetData>
    <row r="1" spans="1:6" x14ac:dyDescent="0.25">
      <c r="A1" t="s">
        <v>278</v>
      </c>
      <c r="B1" t="s">
        <v>279</v>
      </c>
      <c r="C1" t="s">
        <v>280</v>
      </c>
      <c r="D1" t="s">
        <v>281</v>
      </c>
      <c r="E1" t="s">
        <v>282</v>
      </c>
      <c r="F1" t="s">
        <v>283</v>
      </c>
    </row>
    <row r="2" spans="1:6" x14ac:dyDescent="0.25">
      <c r="A2" t="s">
        <v>284</v>
      </c>
      <c r="B2">
        <v>1</v>
      </c>
      <c r="C2">
        <v>30000</v>
      </c>
      <c r="D2">
        <f>B2*C2</f>
        <v>30000</v>
      </c>
      <c r="E2">
        <f>0.07*D2</f>
        <v>2100</v>
      </c>
      <c r="F2">
        <f>D2-E2</f>
        <v>27900</v>
      </c>
    </row>
    <row r="3" spans="1:6" x14ac:dyDescent="0.25">
      <c r="A3" t="s">
        <v>285</v>
      </c>
      <c r="B3">
        <v>2</v>
      </c>
      <c r="C3">
        <v>15000</v>
      </c>
      <c r="D3" s="16">
        <f t="shared" ref="D3:D4" si="0">B3*C3</f>
        <v>30000</v>
      </c>
      <c r="E3" s="16">
        <f>0.07*D3</f>
        <v>2100</v>
      </c>
      <c r="F3" s="16">
        <f t="shared" ref="F3:F4" si="1">D3-E3</f>
        <v>27900</v>
      </c>
    </row>
    <row r="4" spans="1:6" x14ac:dyDescent="0.25">
      <c r="A4" t="s">
        <v>286</v>
      </c>
      <c r="B4">
        <v>1</v>
      </c>
      <c r="C4">
        <v>25000</v>
      </c>
      <c r="D4" s="16">
        <f t="shared" si="0"/>
        <v>25000</v>
      </c>
      <c r="E4">
        <f>0.05*D4</f>
        <v>1250</v>
      </c>
      <c r="F4" s="16">
        <f t="shared" si="1"/>
        <v>23750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E16" sqref="E16"/>
    </sheetView>
  </sheetViews>
  <sheetFormatPr defaultRowHeight="15" x14ac:dyDescent="0.25"/>
  <sheetData>
    <row r="1" spans="1:3" x14ac:dyDescent="0.25">
      <c r="A1" t="s">
        <v>287</v>
      </c>
      <c r="B1" t="s">
        <v>293</v>
      </c>
      <c r="C1" t="s">
        <v>296</v>
      </c>
    </row>
    <row r="2" spans="1:3" x14ac:dyDescent="0.25">
      <c r="A2" t="s">
        <v>288</v>
      </c>
      <c r="B2" t="s">
        <v>294</v>
      </c>
      <c r="C2">
        <v>85</v>
      </c>
    </row>
    <row r="3" spans="1:3" x14ac:dyDescent="0.25">
      <c r="A3" s="16" t="s">
        <v>289</v>
      </c>
      <c r="B3" t="s">
        <v>295</v>
      </c>
      <c r="C3">
        <v>78</v>
      </c>
    </row>
    <row r="4" spans="1:3" x14ac:dyDescent="0.25">
      <c r="A4" s="16" t="s">
        <v>290</v>
      </c>
      <c r="B4" t="s">
        <v>294</v>
      </c>
      <c r="C4">
        <v>92</v>
      </c>
    </row>
    <row r="5" spans="1:3" x14ac:dyDescent="0.25">
      <c r="A5" s="16" t="s">
        <v>291</v>
      </c>
      <c r="B5" t="s">
        <v>295</v>
      </c>
      <c r="C5">
        <v>69</v>
      </c>
    </row>
    <row r="6" spans="1:3" x14ac:dyDescent="0.25">
      <c r="A6" s="16" t="s">
        <v>292</v>
      </c>
      <c r="B6" t="s">
        <v>295</v>
      </c>
      <c r="C6">
        <v>87</v>
      </c>
    </row>
    <row r="8" spans="1:3" x14ac:dyDescent="0.25">
      <c r="A8" t="s">
        <v>293</v>
      </c>
      <c r="B8" t="s">
        <v>297</v>
      </c>
    </row>
    <row r="9" spans="1:3" x14ac:dyDescent="0.25">
      <c r="A9" t="s">
        <v>294</v>
      </c>
      <c r="B9">
        <f>IF(A9="6th",AVERAGE(C2:C6),)</f>
        <v>82.2</v>
      </c>
    </row>
    <row r="10" spans="1:3" x14ac:dyDescent="0.25">
      <c r="A10" t="s">
        <v>298</v>
      </c>
      <c r="B10" s="16">
        <f>IF(A10="7th",AVERAGE(C2:C7),)</f>
        <v>82.2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E10" sqref="E10"/>
    </sheetView>
  </sheetViews>
  <sheetFormatPr defaultRowHeight="15" x14ac:dyDescent="0.25"/>
  <sheetData>
    <row r="1" spans="1:6" x14ac:dyDescent="0.25">
      <c r="A1" t="s">
        <v>254</v>
      </c>
      <c r="B1" t="s">
        <v>299</v>
      </c>
      <c r="C1" t="s">
        <v>300</v>
      </c>
      <c r="D1" t="s">
        <v>306</v>
      </c>
      <c r="E1" t="s">
        <v>301</v>
      </c>
      <c r="F1" t="s">
        <v>302</v>
      </c>
    </row>
    <row r="2" spans="1:6" x14ac:dyDescent="0.25">
      <c r="A2" t="s">
        <v>214</v>
      </c>
      <c r="B2" s="26">
        <v>50000</v>
      </c>
      <c r="C2" s="26">
        <v>45000</v>
      </c>
      <c r="D2" s="26">
        <v>40000</v>
      </c>
      <c r="E2" s="26">
        <v>35000</v>
      </c>
      <c r="F2" s="26">
        <v>30000</v>
      </c>
    </row>
    <row r="3" spans="1:6" x14ac:dyDescent="0.25">
      <c r="A3" s="16" t="s">
        <v>215</v>
      </c>
      <c r="B3" s="26">
        <v>52000</v>
      </c>
      <c r="C3" s="26">
        <v>47000</v>
      </c>
      <c r="D3" s="26">
        <v>42000</v>
      </c>
      <c r="E3" s="26">
        <v>37000</v>
      </c>
      <c r="F3" s="26">
        <v>32000</v>
      </c>
    </row>
    <row r="4" spans="1:6" x14ac:dyDescent="0.25">
      <c r="A4" s="16" t="s">
        <v>216</v>
      </c>
      <c r="B4">
        <v>53000</v>
      </c>
      <c r="C4">
        <v>48000</v>
      </c>
      <c r="D4">
        <v>43000</v>
      </c>
      <c r="E4">
        <v>38000</v>
      </c>
      <c r="F4">
        <v>33000</v>
      </c>
    </row>
    <row r="5" spans="1:6" x14ac:dyDescent="0.25">
      <c r="A5" s="16" t="s">
        <v>217</v>
      </c>
      <c r="B5">
        <v>54000</v>
      </c>
      <c r="C5">
        <v>49000</v>
      </c>
      <c r="D5">
        <v>44000</v>
      </c>
      <c r="E5">
        <v>39000</v>
      </c>
      <c r="F5">
        <v>34000</v>
      </c>
    </row>
    <row r="6" spans="1:6" x14ac:dyDescent="0.25">
      <c r="A6" s="16" t="s">
        <v>172</v>
      </c>
      <c r="B6">
        <v>55000</v>
      </c>
      <c r="C6">
        <v>50000</v>
      </c>
      <c r="D6">
        <v>45000</v>
      </c>
      <c r="E6">
        <v>40000</v>
      </c>
      <c r="F6">
        <v>35000</v>
      </c>
    </row>
    <row r="7" spans="1:6" x14ac:dyDescent="0.25">
      <c r="A7" s="16" t="s">
        <v>218</v>
      </c>
      <c r="B7">
        <v>56000</v>
      </c>
      <c r="C7">
        <v>51000</v>
      </c>
      <c r="D7">
        <v>46000</v>
      </c>
      <c r="E7">
        <v>41000</v>
      </c>
      <c r="F7">
        <v>36000</v>
      </c>
    </row>
    <row r="9" spans="1:6" x14ac:dyDescent="0.25">
      <c r="A9" t="s">
        <v>303</v>
      </c>
      <c r="B9" t="s">
        <v>304</v>
      </c>
      <c r="C9" t="s">
        <v>305</v>
      </c>
      <c r="D9" t="s">
        <v>216</v>
      </c>
      <c r="E9">
        <f>VLOOKUP(D9,A1:F7,2)</f>
        <v>53000</v>
      </c>
      <c r="F9" t="e">
        <f>VLOOKUP(B9,A1:F7,MATCH(D9,A2:A7,0),FALSE)</f>
        <v>#N/A</v>
      </c>
    </row>
    <row r="10" spans="1:6" x14ac:dyDescent="0.25">
      <c r="A10" s="16" t="s">
        <v>303</v>
      </c>
      <c r="B10" s="16" t="s">
        <v>306</v>
      </c>
      <c r="C10" s="16" t="s">
        <v>305</v>
      </c>
      <c r="D10" s="16" t="s">
        <v>217</v>
      </c>
      <c r="E10" s="16" t="e">
        <f>VLOOKUP(D10,A1:F7,2)</f>
        <v>#N/A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D3" sqref="D3"/>
    </sheetView>
  </sheetViews>
  <sheetFormatPr defaultRowHeight="15" x14ac:dyDescent="0.25"/>
  <cols>
    <col min="1" max="1" width="26.28515625" customWidth="1"/>
    <col min="2" max="2" width="21.7109375" customWidth="1"/>
    <col min="3" max="3" width="26.140625" customWidth="1"/>
  </cols>
  <sheetData>
    <row r="1" spans="1:4" x14ac:dyDescent="0.25">
      <c r="A1" t="s">
        <v>307</v>
      </c>
      <c r="B1" t="s">
        <v>308</v>
      </c>
      <c r="C1" t="s">
        <v>309</v>
      </c>
      <c r="D1" t="s">
        <v>310</v>
      </c>
    </row>
    <row r="2" spans="1:4" x14ac:dyDescent="0.25">
      <c r="A2">
        <v>1</v>
      </c>
      <c r="B2" s="27">
        <v>45572.416666666664</v>
      </c>
      <c r="C2" s="27">
        <v>45572.520833333336</v>
      </c>
      <c r="D2">
        <f>(C2-B2)*24</f>
        <v>2.5000000001164153</v>
      </c>
    </row>
    <row r="3" spans="1:4" x14ac:dyDescent="0.25">
      <c r="A3">
        <v>2</v>
      </c>
      <c r="B3" s="27">
        <v>45572.479166666664</v>
      </c>
      <c r="C3" s="27">
        <v>45572.583333333336</v>
      </c>
      <c r="D3" s="16">
        <f t="shared" ref="D3:D6" si="0">(C3-B3)*24</f>
        <v>2.5000000001164153</v>
      </c>
    </row>
    <row r="4" spans="1:4" x14ac:dyDescent="0.25">
      <c r="A4">
        <v>3</v>
      </c>
      <c r="B4" s="27">
        <v>45572.541666666664</v>
      </c>
      <c r="C4" s="27">
        <v>45572.65625</v>
      </c>
      <c r="D4" s="16">
        <f t="shared" si="0"/>
        <v>2.7500000000582077</v>
      </c>
    </row>
    <row r="5" spans="1:4" x14ac:dyDescent="0.25">
      <c r="A5">
        <v>4</v>
      </c>
      <c r="B5" s="27">
        <v>45572.625</v>
      </c>
      <c r="C5" s="27">
        <v>45572.71875</v>
      </c>
      <c r="D5" s="16">
        <f t="shared" si="0"/>
        <v>2.25</v>
      </c>
    </row>
    <row r="6" spans="1:4" x14ac:dyDescent="0.25">
      <c r="A6">
        <v>5</v>
      </c>
      <c r="B6" s="27">
        <v>45572.729166666664</v>
      </c>
      <c r="C6" s="27">
        <v>45572.78125</v>
      </c>
      <c r="D6" s="16">
        <f t="shared" si="0"/>
        <v>1.2500000000582077</v>
      </c>
    </row>
    <row r="8" spans="1:4" x14ac:dyDescent="0.25">
      <c r="A8" t="s">
        <v>311</v>
      </c>
      <c r="B8">
        <f>AVERAGE(D2:D6)</f>
        <v>2.250000000069849</v>
      </c>
    </row>
    <row r="9" spans="1:4" x14ac:dyDescent="0.25">
      <c r="A9" t="s">
        <v>312</v>
      </c>
      <c r="B9" s="27">
        <f>LARGE(C2:C6,1)</f>
        <v>45572.78125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J11" sqref="J11"/>
    </sheetView>
  </sheetViews>
  <sheetFormatPr defaultRowHeight="15" x14ac:dyDescent="0.25"/>
  <sheetData>
    <row r="1" spans="1:3" x14ac:dyDescent="0.25">
      <c r="A1" t="s">
        <v>319</v>
      </c>
      <c r="B1" t="s">
        <v>320</v>
      </c>
      <c r="C1" t="s">
        <v>326</v>
      </c>
    </row>
    <row r="2" spans="1:3" x14ac:dyDescent="0.25">
      <c r="A2" t="s">
        <v>321</v>
      </c>
      <c r="B2">
        <v>85</v>
      </c>
      <c r="C2" t="str">
        <f>CHAR(B2)</f>
        <v>U</v>
      </c>
    </row>
    <row r="3" spans="1:3" x14ac:dyDescent="0.25">
      <c r="A3" t="s">
        <v>322</v>
      </c>
      <c r="B3">
        <v>78</v>
      </c>
      <c r="C3" s="16" t="str">
        <f t="shared" ref="C3:C6" si="0">CHAR(B3)</f>
        <v>N</v>
      </c>
    </row>
    <row r="4" spans="1:3" x14ac:dyDescent="0.25">
      <c r="A4" t="s">
        <v>323</v>
      </c>
      <c r="B4">
        <v>74</v>
      </c>
      <c r="C4" s="16" t="str">
        <f t="shared" si="0"/>
        <v>J</v>
      </c>
    </row>
    <row r="5" spans="1:3" x14ac:dyDescent="0.25">
      <c r="A5" t="s">
        <v>324</v>
      </c>
      <c r="B5">
        <v>67</v>
      </c>
      <c r="C5" s="16" t="str">
        <f t="shared" si="0"/>
        <v>C</v>
      </c>
    </row>
    <row r="6" spans="1:3" x14ac:dyDescent="0.25">
      <c r="A6" t="s">
        <v>325</v>
      </c>
      <c r="B6">
        <v>71</v>
      </c>
      <c r="C6" s="16" t="str">
        <f t="shared" si="0"/>
        <v>G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15" sqref="B15"/>
    </sheetView>
  </sheetViews>
  <sheetFormatPr defaultRowHeight="15" x14ac:dyDescent="0.25"/>
  <sheetData>
    <row r="1" spans="1:2" x14ac:dyDescent="0.25">
      <c r="A1" t="s">
        <v>254</v>
      </c>
      <c r="B1" t="s">
        <v>329</v>
      </c>
    </row>
    <row r="2" spans="1:2" x14ac:dyDescent="0.25">
      <c r="A2" t="s">
        <v>327</v>
      </c>
      <c r="B2">
        <v>820</v>
      </c>
    </row>
    <row r="3" spans="1:2" x14ac:dyDescent="0.25">
      <c r="A3" t="s">
        <v>215</v>
      </c>
      <c r="B3">
        <v>215</v>
      </c>
    </row>
    <row r="4" spans="1:2" x14ac:dyDescent="0.25">
      <c r="A4" t="s">
        <v>328</v>
      </c>
      <c r="B4">
        <v>60</v>
      </c>
    </row>
    <row r="5" spans="1:2" x14ac:dyDescent="0.25">
      <c r="A5" t="s">
        <v>217</v>
      </c>
      <c r="B5">
        <v>470</v>
      </c>
    </row>
    <row r="6" spans="1:2" x14ac:dyDescent="0.25">
      <c r="A6" t="s">
        <v>172</v>
      </c>
      <c r="B6">
        <v>210</v>
      </c>
    </row>
    <row r="7" spans="1:2" x14ac:dyDescent="0.25">
      <c r="A7" t="s">
        <v>218</v>
      </c>
      <c r="B7">
        <v>75</v>
      </c>
    </row>
    <row r="8" spans="1:2" x14ac:dyDescent="0.25">
      <c r="A8" t="s">
        <v>255</v>
      </c>
      <c r="B8">
        <v>750</v>
      </c>
    </row>
    <row r="9" spans="1:2" x14ac:dyDescent="0.25">
      <c r="A9" t="s">
        <v>256</v>
      </c>
      <c r="B9">
        <v>490</v>
      </c>
    </row>
    <row r="10" spans="1:2" x14ac:dyDescent="0.25">
      <c r="A10" t="s">
        <v>257</v>
      </c>
      <c r="B10">
        <v>630</v>
      </c>
    </row>
    <row r="11" spans="1:2" x14ac:dyDescent="0.25">
      <c r="A11" t="s">
        <v>258</v>
      </c>
      <c r="B11">
        <v>260</v>
      </c>
    </row>
    <row r="12" spans="1:2" x14ac:dyDescent="0.25">
      <c r="A12" t="s">
        <v>259</v>
      </c>
      <c r="B12">
        <v>720</v>
      </c>
    </row>
    <row r="13" spans="1:2" x14ac:dyDescent="0.25">
      <c r="A13" t="s">
        <v>260</v>
      </c>
      <c r="B13">
        <v>210</v>
      </c>
    </row>
    <row r="15" spans="1:2" x14ac:dyDescent="0.25">
      <c r="A15" t="s">
        <v>330</v>
      </c>
      <c r="B15">
        <f>SUM(B2:B13)</f>
        <v>4910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T15" sqref="T15"/>
    </sheetView>
  </sheetViews>
  <sheetFormatPr defaultRowHeight="15" x14ac:dyDescent="0.25"/>
  <cols>
    <col min="1" max="1" width="13.140625" customWidth="1"/>
  </cols>
  <sheetData>
    <row r="1" spans="1:3" x14ac:dyDescent="0.25">
      <c r="A1" t="s">
        <v>0</v>
      </c>
      <c r="B1" t="s">
        <v>341</v>
      </c>
      <c r="C1" t="s">
        <v>342</v>
      </c>
    </row>
    <row r="2" spans="1:3" x14ac:dyDescent="0.25">
      <c r="A2" t="s">
        <v>331</v>
      </c>
      <c r="B2">
        <v>15432</v>
      </c>
      <c r="C2">
        <f>ROUNDDOWN(B2,-3)</f>
        <v>15000</v>
      </c>
    </row>
    <row r="3" spans="1:3" x14ac:dyDescent="0.25">
      <c r="A3" t="s">
        <v>332</v>
      </c>
      <c r="B3">
        <v>29756</v>
      </c>
      <c r="C3" s="16">
        <f t="shared" ref="C3:C11" si="0">ROUNDDOWN(B3,-3)</f>
        <v>29000</v>
      </c>
    </row>
    <row r="4" spans="1:3" x14ac:dyDescent="0.25">
      <c r="A4" t="s">
        <v>333</v>
      </c>
      <c r="B4">
        <v>8345</v>
      </c>
      <c r="C4" s="16">
        <f t="shared" si="0"/>
        <v>8000</v>
      </c>
    </row>
    <row r="5" spans="1:3" x14ac:dyDescent="0.25">
      <c r="A5" t="s">
        <v>334</v>
      </c>
      <c r="B5">
        <v>45321</v>
      </c>
      <c r="C5" s="16">
        <f t="shared" si="0"/>
        <v>45000</v>
      </c>
    </row>
    <row r="6" spans="1:3" x14ac:dyDescent="0.25">
      <c r="A6" t="s">
        <v>335</v>
      </c>
      <c r="B6">
        <v>12367</v>
      </c>
      <c r="C6" s="16">
        <f t="shared" si="0"/>
        <v>12000</v>
      </c>
    </row>
    <row r="7" spans="1:3" x14ac:dyDescent="0.25">
      <c r="A7" t="s">
        <v>336</v>
      </c>
      <c r="B7">
        <v>23154</v>
      </c>
      <c r="C7" s="16">
        <f t="shared" si="0"/>
        <v>23000</v>
      </c>
    </row>
    <row r="8" spans="1:3" x14ac:dyDescent="0.25">
      <c r="A8" t="s">
        <v>337</v>
      </c>
      <c r="B8">
        <v>18732</v>
      </c>
      <c r="C8" s="16">
        <f t="shared" si="0"/>
        <v>18000</v>
      </c>
    </row>
    <row r="9" spans="1:3" x14ac:dyDescent="0.25">
      <c r="A9" t="s">
        <v>338</v>
      </c>
      <c r="B9">
        <v>6543</v>
      </c>
      <c r="C9" s="16">
        <f t="shared" si="0"/>
        <v>6000</v>
      </c>
    </row>
    <row r="10" spans="1:3" x14ac:dyDescent="0.25">
      <c r="A10" t="s">
        <v>339</v>
      </c>
      <c r="B10">
        <v>34987</v>
      </c>
      <c r="C10" s="16">
        <f t="shared" si="0"/>
        <v>34000</v>
      </c>
    </row>
    <row r="11" spans="1:3" x14ac:dyDescent="0.25">
      <c r="A11" t="s">
        <v>340</v>
      </c>
      <c r="B11">
        <v>9812</v>
      </c>
      <c r="C11" s="16">
        <f t="shared" si="0"/>
        <v>9000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B19" sqref="B19"/>
    </sheetView>
  </sheetViews>
  <sheetFormatPr defaultRowHeight="15" x14ac:dyDescent="0.25"/>
  <sheetData>
    <row r="1" spans="1:2" x14ac:dyDescent="0.25">
      <c r="A1" t="s">
        <v>2</v>
      </c>
      <c r="B1" t="s">
        <v>343</v>
      </c>
    </row>
    <row r="2" spans="1:2" x14ac:dyDescent="0.25">
      <c r="A2" t="s">
        <v>12</v>
      </c>
      <c r="B2">
        <v>15</v>
      </c>
    </row>
    <row r="3" spans="1:2" x14ac:dyDescent="0.25">
      <c r="A3" t="s">
        <v>12</v>
      </c>
      <c r="B3">
        <v>20</v>
      </c>
    </row>
    <row r="4" spans="1:2" x14ac:dyDescent="0.25">
      <c r="A4" t="s">
        <v>12</v>
      </c>
      <c r="B4">
        <v>18</v>
      </c>
    </row>
    <row r="5" spans="1:2" x14ac:dyDescent="0.25">
      <c r="A5" t="s">
        <v>12</v>
      </c>
      <c r="B5">
        <v>22</v>
      </c>
    </row>
    <row r="6" spans="1:2" x14ac:dyDescent="0.25">
      <c r="A6" t="s">
        <v>114</v>
      </c>
      <c r="B6">
        <v>25</v>
      </c>
    </row>
    <row r="7" spans="1:2" x14ac:dyDescent="0.25">
      <c r="A7" t="s">
        <v>114</v>
      </c>
      <c r="B7">
        <v>30</v>
      </c>
    </row>
    <row r="8" spans="1:2" x14ac:dyDescent="0.25">
      <c r="A8" t="s">
        <v>114</v>
      </c>
      <c r="B8">
        <v>28</v>
      </c>
    </row>
    <row r="9" spans="1:2" x14ac:dyDescent="0.25">
      <c r="A9" t="s">
        <v>114</v>
      </c>
      <c r="B9">
        <v>32</v>
      </c>
    </row>
    <row r="10" spans="1:2" x14ac:dyDescent="0.25">
      <c r="A10" t="s">
        <v>5</v>
      </c>
      <c r="B10">
        <v>10</v>
      </c>
    </row>
    <row r="11" spans="1:2" x14ac:dyDescent="0.25">
      <c r="A11" t="s">
        <v>5</v>
      </c>
      <c r="B11">
        <v>12</v>
      </c>
    </row>
    <row r="12" spans="1:2" x14ac:dyDescent="0.25">
      <c r="A12" t="s">
        <v>5</v>
      </c>
      <c r="B12">
        <v>14</v>
      </c>
    </row>
    <row r="13" spans="1:2" x14ac:dyDescent="0.25">
      <c r="A13" t="s">
        <v>5</v>
      </c>
      <c r="B13">
        <v>16</v>
      </c>
    </row>
    <row r="14" spans="1:2" x14ac:dyDescent="0.25">
      <c r="A14" t="s">
        <v>8</v>
      </c>
      <c r="B14">
        <v>20</v>
      </c>
    </row>
    <row r="15" spans="1:2" x14ac:dyDescent="0.25">
      <c r="A15" t="s">
        <v>8</v>
      </c>
      <c r="B15">
        <v>22</v>
      </c>
    </row>
    <row r="16" spans="1:2" x14ac:dyDescent="0.25">
      <c r="A16" t="s">
        <v>8</v>
      </c>
      <c r="B16">
        <v>24</v>
      </c>
    </row>
    <row r="17" spans="1:2" x14ac:dyDescent="0.25">
      <c r="A17" t="s">
        <v>8</v>
      </c>
      <c r="B17">
        <v>26</v>
      </c>
    </row>
    <row r="19" spans="1:2" x14ac:dyDescent="0.25">
      <c r="A19" t="s">
        <v>51</v>
      </c>
      <c r="B19">
        <f>_xlfn.STDEV.P(B2:B17)</f>
        <v>6.2537488756744946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D7" sqref="D7"/>
    </sheetView>
  </sheetViews>
  <sheetFormatPr defaultRowHeight="15" x14ac:dyDescent="0.25"/>
  <cols>
    <col min="2" max="2" width="13.85546875" customWidth="1"/>
    <col min="3" max="3" width="19.42578125" customWidth="1"/>
  </cols>
  <sheetData>
    <row r="1" spans="1:4" x14ac:dyDescent="0.25">
      <c r="A1" t="s">
        <v>344</v>
      </c>
      <c r="B1" t="s">
        <v>345</v>
      </c>
      <c r="C1" t="s">
        <v>346</v>
      </c>
      <c r="D1" t="s">
        <v>347</v>
      </c>
    </row>
    <row r="2" spans="1:4" x14ac:dyDescent="0.25">
      <c r="A2">
        <v>1001</v>
      </c>
      <c r="B2" t="s">
        <v>348</v>
      </c>
      <c r="C2">
        <v>2023</v>
      </c>
      <c r="D2" t="str">
        <f>IF(C2&gt;=2022,"New",
IF(AND(C2&gt;=2018,C2&lt;=2021),"Moderate",
IF(AND(C2&gt;=2015,C2&lt;=2017),"Old",
IF(C2&lt;=2014,"Very Old","")
)))</f>
        <v>New</v>
      </c>
    </row>
    <row r="3" spans="1:4" x14ac:dyDescent="0.25">
      <c r="A3" s="16">
        <v>1002</v>
      </c>
      <c r="B3" t="s">
        <v>349</v>
      </c>
      <c r="C3">
        <v>2020</v>
      </c>
      <c r="D3" s="16" t="str">
        <f t="shared" ref="D3:D11" si="0">IF(C3&gt;=2022,"New",
IF(AND(C3&gt;=2018,C3&lt;=2021),"Moderate",
IF(AND(C3&gt;=2015,C3&lt;=2017),"Old",
IF(C3&lt;=2014,"Very Old","")
)))</f>
        <v>Moderate</v>
      </c>
    </row>
    <row r="4" spans="1:4" x14ac:dyDescent="0.25">
      <c r="A4" s="16">
        <v>1003</v>
      </c>
      <c r="B4" t="s">
        <v>350</v>
      </c>
      <c r="C4">
        <v>2017</v>
      </c>
      <c r="D4" s="16" t="str">
        <f t="shared" si="0"/>
        <v>Old</v>
      </c>
    </row>
    <row r="5" spans="1:4" x14ac:dyDescent="0.25">
      <c r="A5" s="16">
        <v>1004</v>
      </c>
      <c r="B5" t="s">
        <v>351</v>
      </c>
      <c r="C5">
        <v>2015</v>
      </c>
      <c r="D5" s="16" t="str">
        <f t="shared" si="0"/>
        <v>Old</v>
      </c>
    </row>
    <row r="6" spans="1:4" x14ac:dyDescent="0.25">
      <c r="A6" s="16">
        <v>1005</v>
      </c>
      <c r="B6" t="s">
        <v>352</v>
      </c>
      <c r="C6">
        <v>2019</v>
      </c>
      <c r="D6" s="16" t="str">
        <f t="shared" si="0"/>
        <v>Moderate</v>
      </c>
    </row>
    <row r="7" spans="1:4" x14ac:dyDescent="0.25">
      <c r="A7" s="16">
        <v>1006</v>
      </c>
      <c r="B7" t="s">
        <v>353</v>
      </c>
      <c r="C7">
        <v>2014</v>
      </c>
      <c r="D7" s="16" t="str">
        <f>IF(C7&gt;=2022,"New",
IF(AND(C7&gt;=2018,C7&lt;=2021),"Moderate",
IF(AND(C7&gt;=2015,C7&lt;=2017),"Old",
IF(C7&lt;=2014,"Very Old","")
)))</f>
        <v>Very Old</v>
      </c>
    </row>
    <row r="8" spans="1:4" x14ac:dyDescent="0.25">
      <c r="A8" s="16">
        <v>1007</v>
      </c>
      <c r="B8" t="s">
        <v>354</v>
      </c>
      <c r="C8">
        <v>2022</v>
      </c>
      <c r="D8" s="16" t="str">
        <f t="shared" si="0"/>
        <v>New</v>
      </c>
    </row>
    <row r="9" spans="1:4" x14ac:dyDescent="0.25">
      <c r="A9" s="16">
        <v>1008</v>
      </c>
      <c r="B9" t="s">
        <v>355</v>
      </c>
      <c r="C9">
        <v>2016</v>
      </c>
      <c r="D9" s="16" t="str">
        <f t="shared" si="0"/>
        <v>Old</v>
      </c>
    </row>
    <row r="10" spans="1:4" x14ac:dyDescent="0.25">
      <c r="A10" s="16">
        <v>1009</v>
      </c>
      <c r="B10" t="s">
        <v>356</v>
      </c>
      <c r="C10">
        <v>2013</v>
      </c>
      <c r="D10" s="16" t="str">
        <f t="shared" si="0"/>
        <v>Very Old</v>
      </c>
    </row>
    <row r="11" spans="1:4" x14ac:dyDescent="0.25">
      <c r="A11">
        <v>1010</v>
      </c>
      <c r="B11" t="s">
        <v>357</v>
      </c>
      <c r="C11">
        <v>2021</v>
      </c>
      <c r="D11" s="16" t="str">
        <f t="shared" si="0"/>
        <v>Moderate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opLeftCell="A4" workbookViewId="0">
      <selection activeCell="D17" sqref="D17"/>
    </sheetView>
  </sheetViews>
  <sheetFormatPr defaultRowHeight="15" x14ac:dyDescent="0.25"/>
  <cols>
    <col min="1" max="1" width="11.140625" customWidth="1"/>
    <col min="2" max="2" width="21.7109375" customWidth="1"/>
    <col min="3" max="3" width="15.85546875" customWidth="1"/>
    <col min="4" max="4" width="13.85546875" customWidth="1"/>
    <col min="5" max="5" width="13.42578125" customWidth="1"/>
    <col min="6" max="6" width="10.7109375" customWidth="1"/>
  </cols>
  <sheetData>
    <row r="1" spans="1:6" x14ac:dyDescent="0.25">
      <c r="A1" t="s">
        <v>358</v>
      </c>
      <c r="B1" t="s">
        <v>200</v>
      </c>
      <c r="C1" t="s">
        <v>33</v>
      </c>
      <c r="D1" t="s">
        <v>359</v>
      </c>
      <c r="E1" t="s">
        <v>120</v>
      </c>
      <c r="F1" t="s">
        <v>360</v>
      </c>
    </row>
    <row r="2" spans="1:6" x14ac:dyDescent="0.25">
      <c r="A2">
        <v>101</v>
      </c>
      <c r="B2" t="s">
        <v>361</v>
      </c>
      <c r="C2" t="s">
        <v>371</v>
      </c>
      <c r="D2">
        <v>150</v>
      </c>
      <c r="E2">
        <v>60</v>
      </c>
      <c r="F2" t="s">
        <v>376</v>
      </c>
    </row>
    <row r="3" spans="1:6" x14ac:dyDescent="0.25">
      <c r="A3" s="16">
        <v>102</v>
      </c>
      <c r="B3" t="s">
        <v>362</v>
      </c>
      <c r="C3" t="s">
        <v>371</v>
      </c>
      <c r="D3">
        <v>200</v>
      </c>
      <c r="E3">
        <v>40</v>
      </c>
      <c r="F3" t="s">
        <v>377</v>
      </c>
    </row>
    <row r="4" spans="1:6" x14ac:dyDescent="0.25">
      <c r="A4" s="16">
        <v>103</v>
      </c>
      <c r="B4" t="s">
        <v>363</v>
      </c>
      <c r="C4" t="s">
        <v>372</v>
      </c>
      <c r="D4">
        <v>80</v>
      </c>
      <c r="E4">
        <v>120</v>
      </c>
      <c r="F4" t="s">
        <v>376</v>
      </c>
    </row>
    <row r="5" spans="1:6" x14ac:dyDescent="0.25">
      <c r="A5" s="16">
        <v>104</v>
      </c>
      <c r="B5" t="s">
        <v>364</v>
      </c>
      <c r="C5" t="s">
        <v>372</v>
      </c>
      <c r="D5">
        <v>100</v>
      </c>
      <c r="E5">
        <v>150</v>
      </c>
      <c r="F5" t="s">
        <v>378</v>
      </c>
    </row>
    <row r="6" spans="1:6" x14ac:dyDescent="0.25">
      <c r="A6" s="16">
        <v>105</v>
      </c>
      <c r="B6" t="s">
        <v>365</v>
      </c>
      <c r="C6" t="s">
        <v>381</v>
      </c>
      <c r="D6">
        <v>50</v>
      </c>
      <c r="E6">
        <v>130</v>
      </c>
      <c r="F6" t="s">
        <v>377</v>
      </c>
    </row>
    <row r="7" spans="1:6" x14ac:dyDescent="0.25">
      <c r="A7" s="16">
        <v>106</v>
      </c>
      <c r="B7" t="s">
        <v>366</v>
      </c>
      <c r="C7" t="s">
        <v>381</v>
      </c>
      <c r="D7">
        <v>75</v>
      </c>
      <c r="E7">
        <v>110</v>
      </c>
      <c r="F7" t="s">
        <v>376</v>
      </c>
    </row>
    <row r="8" spans="1:6" x14ac:dyDescent="0.25">
      <c r="A8" s="16">
        <v>107</v>
      </c>
      <c r="B8" t="s">
        <v>367</v>
      </c>
      <c r="C8" t="s">
        <v>373</v>
      </c>
      <c r="D8">
        <v>250</v>
      </c>
      <c r="E8">
        <v>45</v>
      </c>
      <c r="F8" t="s">
        <v>378</v>
      </c>
    </row>
    <row r="9" spans="1:6" x14ac:dyDescent="0.25">
      <c r="A9" s="16">
        <v>108</v>
      </c>
      <c r="B9" t="s">
        <v>368</v>
      </c>
      <c r="C9" t="s">
        <v>374</v>
      </c>
      <c r="D9">
        <v>300</v>
      </c>
      <c r="E9">
        <v>20</v>
      </c>
      <c r="F9" t="s">
        <v>377</v>
      </c>
    </row>
    <row r="10" spans="1:6" x14ac:dyDescent="0.25">
      <c r="A10" s="16">
        <v>109</v>
      </c>
      <c r="B10" t="s">
        <v>369</v>
      </c>
      <c r="C10" t="s">
        <v>373</v>
      </c>
      <c r="D10">
        <v>60</v>
      </c>
      <c r="E10">
        <v>180</v>
      </c>
      <c r="F10" t="s">
        <v>376</v>
      </c>
    </row>
    <row r="11" spans="1:6" x14ac:dyDescent="0.25">
      <c r="A11" s="16">
        <v>110</v>
      </c>
      <c r="B11" t="s">
        <v>370</v>
      </c>
      <c r="C11" t="s">
        <v>375</v>
      </c>
      <c r="D11">
        <v>90</v>
      </c>
      <c r="E11">
        <v>250</v>
      </c>
      <c r="F11" t="s">
        <v>378</v>
      </c>
    </row>
    <row r="14" spans="1:6" x14ac:dyDescent="0.25">
      <c r="B14" t="s">
        <v>380</v>
      </c>
      <c r="C14" t="s">
        <v>366</v>
      </c>
      <c r="D14">
        <f>VLOOKUP(C14,B1:F11,3,FALSE)</f>
        <v>75</v>
      </c>
    </row>
    <row r="15" spans="1:6" x14ac:dyDescent="0.25">
      <c r="B15" t="s">
        <v>379</v>
      </c>
      <c r="C15" t="s">
        <v>376</v>
      </c>
      <c r="D15">
        <f>SUMPRODUCT((F2:F11=C15)*D2:D11*E2:E11)</f>
        <v>37650</v>
      </c>
    </row>
    <row r="16" spans="1:6" x14ac:dyDescent="0.25">
      <c r="C16" t="s">
        <v>377</v>
      </c>
      <c r="D16">
        <f>SUMPRODUCT((F2:F11=C16)*D2:D11*E2:E11)</f>
        <v>20500</v>
      </c>
    </row>
    <row r="17" spans="3:4" x14ac:dyDescent="0.25">
      <c r="C17" t="s">
        <v>378</v>
      </c>
      <c r="D17" s="16">
        <f>SUMPRODUCT((F2:F11=C17)*D2:D11*E2:E11)</f>
        <v>48750</v>
      </c>
    </row>
    <row r="18" spans="3:4" x14ac:dyDescent="0.25">
      <c r="D18" s="16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F13" sqref="F13"/>
    </sheetView>
  </sheetViews>
  <sheetFormatPr defaultRowHeight="15" x14ac:dyDescent="0.25"/>
  <cols>
    <col min="1" max="1" width="10.85546875" customWidth="1"/>
    <col min="4" max="4" width="11.42578125" customWidth="1"/>
  </cols>
  <sheetData>
    <row r="1" spans="1:7" x14ac:dyDescent="0.25">
      <c r="A1" t="s">
        <v>382</v>
      </c>
      <c r="B1" t="s">
        <v>214</v>
      </c>
      <c r="C1" s="16" t="s">
        <v>215</v>
      </c>
      <c r="D1" s="16" t="s">
        <v>216</v>
      </c>
      <c r="E1" s="16" t="s">
        <v>217</v>
      </c>
      <c r="F1" s="16" t="s">
        <v>172</v>
      </c>
      <c r="G1" s="16" t="s">
        <v>218</v>
      </c>
    </row>
    <row r="2" spans="1:7" x14ac:dyDescent="0.25">
      <c r="A2" t="s">
        <v>128</v>
      </c>
      <c r="B2" s="28">
        <v>0.05</v>
      </c>
      <c r="C2" s="28">
        <v>7.0000000000000007E-2</v>
      </c>
      <c r="D2" s="28">
        <v>0.06</v>
      </c>
      <c r="E2" s="28">
        <v>0.08</v>
      </c>
      <c r="F2" s="29">
        <v>7.4999999999999997E-2</v>
      </c>
      <c r="G2" s="28">
        <v>0.09</v>
      </c>
    </row>
    <row r="3" spans="1:7" x14ac:dyDescent="0.25">
      <c r="A3" s="16" t="s">
        <v>129</v>
      </c>
      <c r="B3" s="29">
        <v>4.4999999999999998E-2</v>
      </c>
      <c r="C3" s="28">
        <v>0.06</v>
      </c>
      <c r="D3" s="28">
        <v>7.0000000000000007E-2</v>
      </c>
      <c r="E3" s="29">
        <v>8.5000000000000006E-2</v>
      </c>
      <c r="F3" s="29">
        <v>6.8000000000000005E-2</v>
      </c>
      <c r="G3" s="28">
        <v>0.1</v>
      </c>
    </row>
    <row r="4" spans="1:7" x14ac:dyDescent="0.25">
      <c r="A4" s="16" t="s">
        <v>130</v>
      </c>
      <c r="B4" s="28">
        <v>0.06</v>
      </c>
      <c r="C4" s="29">
        <v>7.1999999999999995E-2</v>
      </c>
      <c r="D4" s="29">
        <v>6.5000000000000002E-2</v>
      </c>
      <c r="E4" s="28">
        <v>0.09</v>
      </c>
      <c r="F4" s="29">
        <v>8.3000000000000004E-2</v>
      </c>
      <c r="G4" s="29">
        <v>9.5000000000000001E-2</v>
      </c>
    </row>
    <row r="5" spans="1:7" x14ac:dyDescent="0.25">
      <c r="A5" t="s">
        <v>131</v>
      </c>
      <c r="B5" s="29">
        <v>5.5E-2</v>
      </c>
      <c r="C5" s="29">
        <v>6.5000000000000002E-2</v>
      </c>
      <c r="D5" s="29">
        <v>7.2999999999999995E-2</v>
      </c>
      <c r="E5" s="29">
        <v>8.7999999999999995E-2</v>
      </c>
      <c r="F5" s="29">
        <v>7.6999999999999999E-2</v>
      </c>
      <c r="G5" s="29">
        <v>0.10199999999999999</v>
      </c>
    </row>
    <row r="8" spans="1:7" x14ac:dyDescent="0.25">
      <c r="A8" t="s">
        <v>383</v>
      </c>
      <c r="D8" t="s">
        <v>128</v>
      </c>
      <c r="E8" t="s">
        <v>216</v>
      </c>
      <c r="F8">
        <f>VLOOKUP(D8,A1:G5,4)</f>
        <v>0.06</v>
      </c>
    </row>
    <row r="9" spans="1:7" x14ac:dyDescent="0.25">
      <c r="D9" t="s">
        <v>129</v>
      </c>
      <c r="E9" t="s">
        <v>217</v>
      </c>
      <c r="F9">
        <f>VLOOKUP(D9,A1:G5,3)</f>
        <v>0.06</v>
      </c>
    </row>
    <row r="10" spans="1:7" x14ac:dyDescent="0.25">
      <c r="D10" t="s">
        <v>384</v>
      </c>
      <c r="E10" t="s">
        <v>172</v>
      </c>
      <c r="F10">
        <f>VLOOKUP(D10,A1:G5,6)</f>
        <v>8.3000000000000004E-2</v>
      </c>
    </row>
    <row r="11" spans="1:7" x14ac:dyDescent="0.25">
      <c r="D11" t="s">
        <v>128</v>
      </c>
      <c r="E11" t="s">
        <v>214</v>
      </c>
      <c r="F11">
        <f>VLOOKUP(D11,A1:G5,2)</f>
        <v>0.05</v>
      </c>
    </row>
    <row r="12" spans="1:7" x14ac:dyDescent="0.25">
      <c r="D12" t="s">
        <v>129</v>
      </c>
      <c r="E12" t="s">
        <v>215</v>
      </c>
      <c r="F12">
        <f>VLOOKUP(D12,A1:G5,3)</f>
        <v>0.06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G20" sqref="G20:G22"/>
    </sheetView>
  </sheetViews>
  <sheetFormatPr defaultRowHeight="15" x14ac:dyDescent="0.25"/>
  <sheetData>
    <row r="1" spans="1:2" x14ac:dyDescent="0.25">
      <c r="A1" t="s">
        <v>66</v>
      </c>
      <c r="B1" t="s">
        <v>387</v>
      </c>
    </row>
    <row r="2" spans="1:2" x14ac:dyDescent="0.25">
      <c r="A2" t="s">
        <v>67</v>
      </c>
      <c r="B2">
        <v>85</v>
      </c>
    </row>
    <row r="3" spans="1:2" x14ac:dyDescent="0.25">
      <c r="A3" t="s">
        <v>385</v>
      </c>
      <c r="B3">
        <v>72</v>
      </c>
    </row>
    <row r="4" spans="1:2" x14ac:dyDescent="0.25">
      <c r="A4" t="s">
        <v>68</v>
      </c>
      <c r="B4">
        <v>90</v>
      </c>
    </row>
    <row r="5" spans="1:2" x14ac:dyDescent="0.25">
      <c r="A5" t="s">
        <v>386</v>
      </c>
      <c r="B5">
        <v>80</v>
      </c>
    </row>
    <row r="7" spans="1:2" x14ac:dyDescent="0.25">
      <c r="A7" t="s">
        <v>51</v>
      </c>
      <c r="B7">
        <f>AVERAGE(B2:B5)</f>
        <v>81.75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 x14ac:dyDescent="0.25"/>
  <cols>
    <col min="2" max="2" width="82.140625" customWidth="1"/>
    <col min="3" max="3" width="21.28515625" customWidth="1"/>
    <col min="5" max="5" width="30.85546875" customWidth="1"/>
  </cols>
  <sheetData>
    <row r="1" spans="1:6" x14ac:dyDescent="0.25">
      <c r="A1" t="s">
        <v>388</v>
      </c>
      <c r="B1" t="s">
        <v>392</v>
      </c>
      <c r="C1" t="s">
        <v>389</v>
      </c>
      <c r="D1" t="s">
        <v>390</v>
      </c>
      <c r="E1" t="s">
        <v>391</v>
      </c>
    </row>
    <row r="2" spans="1:6" x14ac:dyDescent="0.25">
      <c r="A2" t="s">
        <v>266</v>
      </c>
      <c r="B2" t="s">
        <v>393</v>
      </c>
      <c r="C2" t="str">
        <f>SUBSTITUTE(LEFT(B2,FIND("[#",B2)-1),","," ")</f>
        <v>John Doe</v>
      </c>
      <c r="D2" t="str">
        <f>MID(B2,FIND("[#",B2)+2,FIND("]",B2)-FIND("[#",B2)-2)</f>
        <v>12345</v>
      </c>
      <c r="E2" t="str">
        <f>MID(B2, FIND("]-", B2) + 2, LEN(B2))</f>
        <v>Internet is down since last night</v>
      </c>
      <c r="F2">
        <f>FIND("-", B2)</f>
        <v>17</v>
      </c>
    </row>
    <row r="3" spans="1:6" x14ac:dyDescent="0.25">
      <c r="A3" s="16" t="s">
        <v>267</v>
      </c>
      <c r="B3" t="s">
        <v>394</v>
      </c>
      <c r="C3" s="16" t="str">
        <f t="shared" ref="C3:C6" si="0">SUBSTITUTE(LEFT(B3,FIND("[#",B3)-1),","," ")</f>
        <v>Mary Jane</v>
      </c>
      <c r="D3" s="16" t="str">
        <f t="shared" ref="D3:D6" si="1">MID(B3,FIND("[#",B3)+2,FIND("]",B3)-FIND("[#",B3)-2)</f>
        <v>23456</v>
      </c>
      <c r="E3" t="str">
        <f>MID(B3,FIND("]-",B3)+2,LEN(B3))</f>
        <v>Billing Issue: charged twice for the same month</v>
      </c>
    </row>
    <row r="4" spans="1:6" x14ac:dyDescent="0.25">
      <c r="A4" s="16" t="s">
        <v>268</v>
      </c>
      <c r="B4" t="s">
        <v>395</v>
      </c>
      <c r="C4" s="16" t="str">
        <f t="shared" si="0"/>
        <v xml:space="preserve">Ahmed Khan </v>
      </c>
      <c r="D4" s="16" t="str">
        <f t="shared" si="1"/>
        <v>34567</v>
      </c>
      <c r="E4" t="str">
        <f>MID(B4,FIND("]-",B4)+2,LEN(B4))</f>
        <v xml:space="preserve"> Need assistance with setting up a new router</v>
      </c>
    </row>
    <row r="5" spans="1:6" x14ac:dyDescent="0.25">
      <c r="A5" s="16" t="s">
        <v>269</v>
      </c>
      <c r="B5" t="s">
        <v>396</v>
      </c>
      <c r="C5" s="16" t="str">
        <f t="shared" si="0"/>
        <v xml:space="preserve">Priya  Sharma </v>
      </c>
      <c r="D5" s="16" t="str">
        <f t="shared" si="1"/>
        <v>45678</v>
      </c>
      <c r="E5" t="str">
        <f>MID(B5,FIND("]-",B5)+2,LEN(B5))</f>
        <v>The network coverage is poor in my area</v>
      </c>
    </row>
    <row r="6" spans="1:6" x14ac:dyDescent="0.25">
      <c r="A6" s="16" t="s">
        <v>270</v>
      </c>
      <c r="B6" t="s">
        <v>397</v>
      </c>
      <c r="C6" s="16" t="str">
        <f t="shared" si="0"/>
        <v xml:space="preserve">Rajesh Gupta </v>
      </c>
      <c r="D6" s="16" t="str">
        <f t="shared" si="1"/>
        <v>56789</v>
      </c>
      <c r="E6" t="str">
        <f>MID(B6,FIND("]-",B6)+2,LEN(B6))</f>
        <v xml:space="preserve"> Connection speed is very slow,experiencing frequent disconnections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activeCell="I2" sqref="I2"/>
    </sheetView>
  </sheetViews>
  <sheetFormatPr defaultRowHeight="15" x14ac:dyDescent="0.25"/>
  <cols>
    <col min="2" max="2" width="27.28515625" customWidth="1"/>
    <col min="3" max="3" width="17.28515625" customWidth="1"/>
    <col min="4" max="4" width="13.140625" customWidth="1"/>
    <col min="5" max="5" width="12.42578125" customWidth="1"/>
    <col min="8" max="8" width="13.140625" customWidth="1"/>
    <col min="9" max="9" width="14.85546875" customWidth="1"/>
  </cols>
  <sheetData>
    <row r="1" spans="1:10" x14ac:dyDescent="0.25">
      <c r="A1" t="s">
        <v>187</v>
      </c>
      <c r="B1" t="s">
        <v>313</v>
      </c>
      <c r="C1" t="s">
        <v>74</v>
      </c>
      <c r="D1" t="s">
        <v>869</v>
      </c>
      <c r="E1" t="s">
        <v>870</v>
      </c>
      <c r="F1" t="s">
        <v>871</v>
      </c>
      <c r="G1" t="s">
        <v>872</v>
      </c>
      <c r="H1" t="s">
        <v>873</v>
      </c>
      <c r="I1" t="s">
        <v>874</v>
      </c>
      <c r="J1" t="s">
        <v>875</v>
      </c>
    </row>
    <row r="2" spans="1:10" x14ac:dyDescent="0.25">
      <c r="A2" t="s">
        <v>158</v>
      </c>
      <c r="B2" t="s">
        <v>318</v>
      </c>
      <c r="C2" t="str">
        <f>PROPER(LEFT(B2, FIND(",", B2)-1))</f>
        <v>Ramesh Kumar</v>
      </c>
      <c r="D2" t="str">
        <f>MID(B2, FIND("Loan Amount:", B2)+12, FIND(",", B2, FIND("Loan Amount:", B2)) - (FIND("Loan Amount:", B2)+12))</f>
        <v>500000</v>
      </c>
      <c r="E2">
        <f>VALUE(SUBSTITUTE(MID(B2, FIND("Interest Rate:",B2)+14, FIND("Tenure:",B2)- (FIND("Interest Rate:",B2)+14)),"%",""))</f>
        <v>7.5</v>
      </c>
      <c r="F2" t="str">
        <f>MID(B2, FIND("Tenure:",B2)+7, FIND(",",B2,FIND("Tenure:",B2))- (FIND("Tenure:",B2)+12))</f>
        <v xml:space="preserve">10 </v>
      </c>
      <c r="H2">
        <f>D2*E2*F2/100</f>
        <v>375000</v>
      </c>
    </row>
    <row r="3" spans="1:10" x14ac:dyDescent="0.25">
      <c r="A3" s="16" t="s">
        <v>159</v>
      </c>
      <c r="B3" s="16" t="s">
        <v>314</v>
      </c>
      <c r="C3" t="str">
        <f>PROPER(LEFT(B3,FIND(",",B3)-1))</f>
        <v>Rita Gupta</v>
      </c>
      <c r="D3" s="16" t="str">
        <f>MID(B3, FIND("Loan Amount:", B3)+12, FIND(",", B3, FIND("Loan Amount:", B3)) - (FIND("Loan Amount:", B3)+12))</f>
        <v>300000</v>
      </c>
      <c r="E3" s="16">
        <f t="shared" ref="E3:E6" si="0">VALUE(SUBSTITUTE(MID(B3, FIND("Interest Rate:",B3)+14, FIND("Tenure:",B3)- (FIND("Interest Rate:",B3)+14)),"%",""))</f>
        <v>8.1999999999999993</v>
      </c>
      <c r="F3" s="16" t="str">
        <f t="shared" ref="F3:F6" si="1">MID(B3, FIND("Tenure:",B3)+7, FIND(",",B3,FIND("Tenure:",B3))- (FIND("Tenure:",B3)+12))</f>
        <v xml:space="preserve">7 </v>
      </c>
      <c r="H3" s="16">
        <f t="shared" ref="H3:H6" si="2">D3*E3*F3/100</f>
        <v>172200</v>
      </c>
    </row>
    <row r="4" spans="1:10" x14ac:dyDescent="0.25">
      <c r="A4" s="16" t="s">
        <v>160</v>
      </c>
      <c r="B4" s="16" t="s">
        <v>317</v>
      </c>
      <c r="C4" t="str">
        <f>PROPER(LEFT(B4,FIND(",",B4)-1))</f>
        <v>Vijay Singh</v>
      </c>
      <c r="D4" s="16" t="str">
        <f t="shared" ref="D4:D6" si="3">MID(B4, FIND("Loan Amount:", B4)+12, FIND(",", B4, FIND("Loan Amount:", B4)) - (FIND("Loan Amount:", B4)+12))</f>
        <v>1000000</v>
      </c>
      <c r="E4" s="16">
        <f t="shared" si="0"/>
        <v>6.9</v>
      </c>
      <c r="F4" s="16" t="str">
        <f t="shared" si="1"/>
        <v xml:space="preserve">15 </v>
      </c>
      <c r="H4" s="16">
        <f t="shared" si="2"/>
        <v>1035000</v>
      </c>
    </row>
    <row r="5" spans="1:10" x14ac:dyDescent="0.25">
      <c r="A5" s="16" t="s">
        <v>161</v>
      </c>
      <c r="B5" s="16" t="s">
        <v>315</v>
      </c>
      <c r="C5" s="16" t="str">
        <f t="shared" ref="C5:C6" si="4">PROPER(LEFT(B5,FIND(",",B5)-1))</f>
        <v>Priya Iyer</v>
      </c>
      <c r="D5" s="16" t="str">
        <f t="shared" si="3"/>
        <v>250000</v>
      </c>
      <c r="E5" s="16">
        <f t="shared" si="0"/>
        <v>7.8</v>
      </c>
      <c r="F5" s="16" t="str">
        <f t="shared" si="1"/>
        <v xml:space="preserve">5 </v>
      </c>
      <c r="H5" s="16">
        <f t="shared" si="2"/>
        <v>97500</v>
      </c>
    </row>
    <row r="6" spans="1:10" x14ac:dyDescent="0.25">
      <c r="A6" s="16" t="s">
        <v>162</v>
      </c>
      <c r="B6" s="16" t="s">
        <v>316</v>
      </c>
      <c r="C6" s="16" t="str">
        <f t="shared" si="4"/>
        <v>Anil Kumar</v>
      </c>
      <c r="D6" s="16" t="str">
        <f t="shared" si="3"/>
        <v>750000</v>
      </c>
      <c r="E6" s="16">
        <f t="shared" si="0"/>
        <v>8</v>
      </c>
      <c r="F6" s="16" t="str">
        <f t="shared" si="1"/>
        <v xml:space="preserve">12 </v>
      </c>
      <c r="H6" s="16">
        <f t="shared" si="2"/>
        <v>720000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opLeftCell="A4" workbookViewId="0">
      <selection activeCell="C28" sqref="C28:C29"/>
    </sheetView>
  </sheetViews>
  <sheetFormatPr defaultRowHeight="15" x14ac:dyDescent="0.25"/>
  <sheetData>
    <row r="1" spans="1:4" x14ac:dyDescent="0.25">
      <c r="A1" t="s">
        <v>398</v>
      </c>
      <c r="B1" t="s">
        <v>402</v>
      </c>
      <c r="C1" t="s">
        <v>406</v>
      </c>
      <c r="D1" t="s">
        <v>408</v>
      </c>
    </row>
    <row r="2" spans="1:4" x14ac:dyDescent="0.25">
      <c r="A2" t="s">
        <v>399</v>
      </c>
      <c r="B2" t="s">
        <v>403</v>
      </c>
      <c r="C2">
        <v>45</v>
      </c>
      <c r="D2" t="b">
        <f>IF(AND(B2="Tier 1",C2&gt;30),TRUE,FALSE)</f>
        <v>1</v>
      </c>
    </row>
    <row r="3" spans="1:4" x14ac:dyDescent="0.25">
      <c r="A3" t="s">
        <v>400</v>
      </c>
      <c r="B3" t="s">
        <v>404</v>
      </c>
      <c r="C3">
        <v>20</v>
      </c>
      <c r="D3" s="16" t="b">
        <f t="shared" ref="D3:D5" si="0">IF(AND(B3="Tier 1",C3&gt;30),TRUE,FALSE)</f>
        <v>0</v>
      </c>
    </row>
    <row r="4" spans="1:4" x14ac:dyDescent="0.25">
      <c r="A4" t="s">
        <v>401</v>
      </c>
      <c r="B4" t="s">
        <v>403</v>
      </c>
      <c r="C4">
        <v>10</v>
      </c>
      <c r="D4" s="16" t="b">
        <f t="shared" si="0"/>
        <v>0</v>
      </c>
    </row>
    <row r="5" spans="1:4" x14ac:dyDescent="0.25">
      <c r="A5" t="s">
        <v>407</v>
      </c>
      <c r="B5" t="s">
        <v>405</v>
      </c>
      <c r="C5">
        <v>60</v>
      </c>
      <c r="D5" s="16" t="b">
        <f t="shared" si="0"/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A14" sqref="A14"/>
    </sheetView>
  </sheetViews>
  <sheetFormatPr defaultRowHeight="15" x14ac:dyDescent="0.25"/>
  <cols>
    <col min="2" max="2" width="19.85546875" customWidth="1"/>
    <col min="4" max="4" width="23.85546875" customWidth="1"/>
  </cols>
  <sheetData>
    <row r="1" spans="1:5" x14ac:dyDescent="0.25">
      <c r="A1" t="s">
        <v>409</v>
      </c>
      <c r="B1" t="s">
        <v>84</v>
      </c>
      <c r="C1" t="s">
        <v>410</v>
      </c>
      <c r="D1" t="s">
        <v>411</v>
      </c>
      <c r="E1" t="s">
        <v>412</v>
      </c>
    </row>
    <row r="2" spans="1:5" x14ac:dyDescent="0.25">
      <c r="A2">
        <v>101</v>
      </c>
      <c r="B2" t="s">
        <v>413</v>
      </c>
      <c r="C2" t="s">
        <v>214</v>
      </c>
      <c r="D2" t="str">
        <f>LOWER(B2)</f>
        <v>ram trdaing co.</v>
      </c>
      <c r="E2" t="str">
        <f>LOWER(C2)</f>
        <v>january</v>
      </c>
    </row>
    <row r="3" spans="1:5" x14ac:dyDescent="0.25">
      <c r="A3" s="16">
        <v>102</v>
      </c>
      <c r="B3" t="s">
        <v>86</v>
      </c>
      <c r="C3" t="s">
        <v>215</v>
      </c>
      <c r="D3" s="16" t="str">
        <f t="shared" ref="D3:D6" si="0">LOWER(B3)</f>
        <v>mahesh enterprises</v>
      </c>
      <c r="E3" s="16" t="str">
        <f t="shared" ref="E3:E6" si="1">LOWER(C3)</f>
        <v>february</v>
      </c>
    </row>
    <row r="4" spans="1:5" x14ac:dyDescent="0.25">
      <c r="A4" s="16">
        <v>103</v>
      </c>
      <c r="B4" t="s">
        <v>87</v>
      </c>
      <c r="C4" t="s">
        <v>216</v>
      </c>
      <c r="D4" s="16" t="str">
        <f t="shared" si="0"/>
        <v>vinayaka stores</v>
      </c>
      <c r="E4" s="16" t="str">
        <f t="shared" si="1"/>
        <v>march</v>
      </c>
    </row>
    <row r="5" spans="1:5" x14ac:dyDescent="0.25">
      <c r="A5" s="16">
        <v>104</v>
      </c>
      <c r="B5" t="s">
        <v>88</v>
      </c>
      <c r="C5" t="s">
        <v>217</v>
      </c>
      <c r="D5" s="16" t="str">
        <f t="shared" si="0"/>
        <v>anand &amp; sons</v>
      </c>
      <c r="E5" s="16" t="str">
        <f t="shared" si="1"/>
        <v>april</v>
      </c>
    </row>
    <row r="6" spans="1:5" x14ac:dyDescent="0.25">
      <c r="A6" s="16">
        <v>105</v>
      </c>
      <c r="B6" t="s">
        <v>414</v>
      </c>
      <c r="C6" t="s">
        <v>172</v>
      </c>
      <c r="D6" s="16" t="str">
        <f t="shared" si="0"/>
        <v>shree ganesh mart</v>
      </c>
      <c r="E6" s="16" t="str">
        <f t="shared" si="1"/>
        <v>may</v>
      </c>
    </row>
    <row r="7" spans="1:5" x14ac:dyDescent="0.25">
      <c r="A7" s="16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G4" sqref="G4"/>
    </sheetView>
  </sheetViews>
  <sheetFormatPr defaultRowHeight="15" x14ac:dyDescent="0.25"/>
  <sheetData>
    <row r="1" spans="1:7" x14ac:dyDescent="0.25">
      <c r="A1" t="s">
        <v>415</v>
      </c>
      <c r="B1" t="s">
        <v>416</v>
      </c>
      <c r="C1" t="s">
        <v>417</v>
      </c>
      <c r="D1" t="s">
        <v>418</v>
      </c>
      <c r="E1" t="s">
        <v>419</v>
      </c>
      <c r="F1" t="s">
        <v>420</v>
      </c>
      <c r="G1" t="s">
        <v>425</v>
      </c>
    </row>
    <row r="2" spans="1:7" x14ac:dyDescent="0.25">
      <c r="A2" t="s">
        <v>421</v>
      </c>
      <c r="B2">
        <v>250</v>
      </c>
      <c r="C2">
        <v>180</v>
      </c>
      <c r="D2">
        <v>320</v>
      </c>
      <c r="E2">
        <v>150</v>
      </c>
      <c r="F2">
        <v>200</v>
      </c>
      <c r="G2">
        <f>LARGE(B2:F2,1)</f>
        <v>320</v>
      </c>
    </row>
    <row r="3" spans="1:7" x14ac:dyDescent="0.25">
      <c r="A3" s="16" t="s">
        <v>422</v>
      </c>
      <c r="B3">
        <v>120</v>
      </c>
      <c r="C3">
        <v>210</v>
      </c>
      <c r="D3">
        <v>180</v>
      </c>
      <c r="E3">
        <v>140</v>
      </c>
      <c r="F3" s="16">
        <v>160</v>
      </c>
      <c r="G3" s="16">
        <f t="shared" ref="G3:G5" si="0">LARGE(B3:F3,1)</f>
        <v>210</v>
      </c>
    </row>
    <row r="4" spans="1:7" x14ac:dyDescent="0.25">
      <c r="A4" s="16" t="s">
        <v>423</v>
      </c>
      <c r="B4">
        <v>300</v>
      </c>
      <c r="C4">
        <v>250</v>
      </c>
      <c r="D4">
        <v>350</v>
      </c>
      <c r="E4">
        <v>220</v>
      </c>
      <c r="F4" s="16">
        <v>280</v>
      </c>
      <c r="G4" s="16">
        <f t="shared" si="0"/>
        <v>350</v>
      </c>
    </row>
    <row r="5" spans="1:7" x14ac:dyDescent="0.25">
      <c r="A5" s="16" t="s">
        <v>424</v>
      </c>
      <c r="B5">
        <v>180</v>
      </c>
      <c r="C5">
        <v>150</v>
      </c>
      <c r="D5">
        <v>200</v>
      </c>
      <c r="E5">
        <v>120</v>
      </c>
      <c r="F5" s="16">
        <v>130</v>
      </c>
      <c r="G5" s="16">
        <f t="shared" si="0"/>
        <v>200</v>
      </c>
    </row>
    <row r="6" spans="1:7" x14ac:dyDescent="0.25">
      <c r="A6" s="16"/>
      <c r="F6" s="16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B13" sqref="B13"/>
    </sheetView>
  </sheetViews>
  <sheetFormatPr defaultRowHeight="15" x14ac:dyDescent="0.25"/>
  <sheetData>
    <row r="1" spans="1:5" x14ac:dyDescent="0.25">
      <c r="A1" t="s">
        <v>426</v>
      </c>
      <c r="B1" t="s">
        <v>181</v>
      </c>
      <c r="C1" t="s">
        <v>138</v>
      </c>
      <c r="D1" t="s">
        <v>139</v>
      </c>
      <c r="E1" t="s">
        <v>427</v>
      </c>
    </row>
    <row r="2" spans="1:5" x14ac:dyDescent="0.25">
      <c r="A2" t="s">
        <v>428</v>
      </c>
      <c r="B2" t="s">
        <v>438</v>
      </c>
      <c r="C2">
        <v>5000</v>
      </c>
      <c r="D2">
        <v>120</v>
      </c>
      <c r="E2" t="b">
        <f>IF(D2=0,TRUE,FALSE)</f>
        <v>0</v>
      </c>
    </row>
    <row r="3" spans="1:5" x14ac:dyDescent="0.25">
      <c r="A3" s="16" t="s">
        <v>429</v>
      </c>
      <c r="B3" t="s">
        <v>439</v>
      </c>
      <c r="C3">
        <v>3000</v>
      </c>
      <c r="D3">
        <v>0</v>
      </c>
      <c r="E3" s="16" t="b">
        <f t="shared" ref="E3:E11" si="0">IF(D3=0,TRUE,FALSE)</f>
        <v>1</v>
      </c>
    </row>
    <row r="4" spans="1:5" x14ac:dyDescent="0.25">
      <c r="A4" s="16" t="s">
        <v>430</v>
      </c>
      <c r="B4" t="s">
        <v>440</v>
      </c>
      <c r="C4">
        <v>4500</v>
      </c>
      <c r="D4">
        <v>80</v>
      </c>
      <c r="E4" s="16" t="b">
        <f t="shared" si="0"/>
        <v>0</v>
      </c>
    </row>
    <row r="5" spans="1:5" x14ac:dyDescent="0.25">
      <c r="A5" s="16" t="s">
        <v>431</v>
      </c>
      <c r="B5" t="s">
        <v>441</v>
      </c>
      <c r="C5">
        <v>6000</v>
      </c>
      <c r="D5">
        <v>150</v>
      </c>
      <c r="E5" s="16" t="b">
        <f t="shared" si="0"/>
        <v>0</v>
      </c>
    </row>
    <row r="6" spans="1:5" x14ac:dyDescent="0.25">
      <c r="A6" s="16" t="s">
        <v>432</v>
      </c>
      <c r="B6" t="s">
        <v>442</v>
      </c>
      <c r="C6">
        <v>2500</v>
      </c>
      <c r="D6">
        <v>0</v>
      </c>
      <c r="E6" s="16" t="b">
        <f t="shared" si="0"/>
        <v>1</v>
      </c>
    </row>
    <row r="7" spans="1:5" x14ac:dyDescent="0.25">
      <c r="A7" s="16" t="s">
        <v>433</v>
      </c>
      <c r="B7" t="s">
        <v>443</v>
      </c>
      <c r="C7">
        <v>4000</v>
      </c>
      <c r="D7">
        <v>60</v>
      </c>
      <c r="E7" s="16" t="b">
        <f t="shared" si="0"/>
        <v>0</v>
      </c>
    </row>
    <row r="8" spans="1:5" x14ac:dyDescent="0.25">
      <c r="A8" s="16" t="s">
        <v>434</v>
      </c>
      <c r="B8" t="s">
        <v>444</v>
      </c>
      <c r="C8">
        <v>3500</v>
      </c>
      <c r="D8">
        <v>90</v>
      </c>
      <c r="E8" s="16" t="b">
        <f t="shared" si="0"/>
        <v>0</v>
      </c>
    </row>
    <row r="9" spans="1:5" x14ac:dyDescent="0.25">
      <c r="A9" s="16" t="s">
        <v>435</v>
      </c>
      <c r="B9" t="s">
        <v>445</v>
      </c>
      <c r="C9">
        <v>2000</v>
      </c>
      <c r="D9">
        <v>0</v>
      </c>
      <c r="E9" s="16" t="b">
        <f t="shared" si="0"/>
        <v>1</v>
      </c>
    </row>
    <row r="10" spans="1:5" x14ac:dyDescent="0.25">
      <c r="A10" s="16" t="s">
        <v>436</v>
      </c>
      <c r="B10" t="s">
        <v>446</v>
      </c>
      <c r="C10">
        <v>2800</v>
      </c>
      <c r="D10">
        <v>70</v>
      </c>
      <c r="E10" s="16" t="b">
        <f t="shared" si="0"/>
        <v>0</v>
      </c>
    </row>
    <row r="11" spans="1:5" x14ac:dyDescent="0.25">
      <c r="A11" s="16" t="s">
        <v>437</v>
      </c>
      <c r="B11" t="s">
        <v>447</v>
      </c>
      <c r="C11">
        <v>5000</v>
      </c>
      <c r="D11">
        <v>110</v>
      </c>
      <c r="E11" s="16" t="b">
        <f t="shared" si="0"/>
        <v>0</v>
      </c>
    </row>
    <row r="13" spans="1:5" x14ac:dyDescent="0.25">
      <c r="A13" t="s">
        <v>51</v>
      </c>
      <c r="B13">
        <f>COUNTIF(E2:E11,TRUE)</f>
        <v>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8" sqref="B8"/>
    </sheetView>
  </sheetViews>
  <sheetFormatPr defaultRowHeight="15" x14ac:dyDescent="0.25"/>
  <sheetData>
    <row r="1" spans="1:2" x14ac:dyDescent="0.25">
      <c r="A1" t="s">
        <v>484</v>
      </c>
      <c r="B1" t="s">
        <v>490</v>
      </c>
    </row>
    <row r="2" spans="1:2" x14ac:dyDescent="0.25">
      <c r="A2" t="s">
        <v>485</v>
      </c>
      <c r="B2">
        <v>45</v>
      </c>
    </row>
    <row r="3" spans="1:2" x14ac:dyDescent="0.25">
      <c r="A3" t="s">
        <v>486</v>
      </c>
      <c r="B3">
        <v>62</v>
      </c>
    </row>
    <row r="4" spans="1:2" x14ac:dyDescent="0.25">
      <c r="A4" t="s">
        <v>487</v>
      </c>
      <c r="B4">
        <v>53</v>
      </c>
    </row>
    <row r="5" spans="1:2" x14ac:dyDescent="0.25">
      <c r="A5" t="s">
        <v>488</v>
      </c>
      <c r="B5">
        <v>37</v>
      </c>
    </row>
    <row r="6" spans="1:2" x14ac:dyDescent="0.25">
      <c r="A6" t="s">
        <v>489</v>
      </c>
      <c r="B6">
        <v>58</v>
      </c>
    </row>
    <row r="8" spans="1:2" x14ac:dyDescent="0.25">
      <c r="A8" t="s">
        <v>486</v>
      </c>
      <c r="B8">
        <f>VLOOKUP(A8,A1:B6,2,FALSE)</f>
        <v>62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C11" sqref="C11"/>
    </sheetView>
  </sheetViews>
  <sheetFormatPr defaultRowHeight="15" x14ac:dyDescent="0.25"/>
  <sheetData>
    <row r="1" spans="1:6" x14ac:dyDescent="0.25">
      <c r="A1" t="s">
        <v>254</v>
      </c>
      <c r="B1" t="s">
        <v>448</v>
      </c>
      <c r="C1" s="16" t="s">
        <v>449</v>
      </c>
      <c r="D1" s="16" t="s">
        <v>450</v>
      </c>
      <c r="E1" s="16" t="s">
        <v>451</v>
      </c>
      <c r="F1" t="s">
        <v>452</v>
      </c>
    </row>
    <row r="2" spans="1:6" x14ac:dyDescent="0.25">
      <c r="A2" t="s">
        <v>214</v>
      </c>
      <c r="B2">
        <v>150000</v>
      </c>
      <c r="C2">
        <v>200000</v>
      </c>
      <c r="D2">
        <v>175000</v>
      </c>
      <c r="E2">
        <v>220000</v>
      </c>
      <c r="F2">
        <v>180000</v>
      </c>
    </row>
    <row r="3" spans="1:6" x14ac:dyDescent="0.25">
      <c r="A3" t="s">
        <v>215</v>
      </c>
      <c r="B3">
        <v>160000</v>
      </c>
      <c r="C3">
        <v>210000</v>
      </c>
      <c r="D3">
        <v>185000</v>
      </c>
      <c r="E3">
        <v>230000</v>
      </c>
      <c r="F3">
        <v>190000</v>
      </c>
    </row>
    <row r="4" spans="1:6" x14ac:dyDescent="0.25">
      <c r="A4" s="16" t="s">
        <v>216</v>
      </c>
      <c r="B4">
        <v>170000</v>
      </c>
      <c r="C4">
        <v>220000</v>
      </c>
      <c r="D4">
        <v>195000</v>
      </c>
      <c r="E4">
        <v>240000</v>
      </c>
      <c r="F4">
        <v>200000</v>
      </c>
    </row>
    <row r="5" spans="1:6" x14ac:dyDescent="0.25">
      <c r="A5" s="16" t="s">
        <v>217</v>
      </c>
      <c r="B5">
        <v>180000</v>
      </c>
      <c r="C5">
        <v>230000</v>
      </c>
      <c r="D5">
        <v>205000</v>
      </c>
      <c r="E5">
        <v>250000</v>
      </c>
      <c r="F5">
        <v>210000</v>
      </c>
    </row>
    <row r="6" spans="1:6" x14ac:dyDescent="0.25">
      <c r="A6" s="16" t="s">
        <v>172</v>
      </c>
      <c r="B6">
        <v>190000</v>
      </c>
      <c r="C6">
        <v>240000</v>
      </c>
      <c r="D6">
        <v>215000</v>
      </c>
      <c r="E6">
        <v>260000</v>
      </c>
      <c r="F6">
        <v>220000</v>
      </c>
    </row>
    <row r="7" spans="1:6" x14ac:dyDescent="0.25">
      <c r="A7" t="s">
        <v>218</v>
      </c>
      <c r="B7" s="16">
        <v>200000</v>
      </c>
      <c r="C7" s="16">
        <v>250000</v>
      </c>
      <c r="D7" s="16">
        <v>225000</v>
      </c>
      <c r="E7" s="16">
        <v>270000</v>
      </c>
      <c r="F7" s="16">
        <v>230000</v>
      </c>
    </row>
    <row r="9" spans="1:6" x14ac:dyDescent="0.25">
      <c r="A9" t="s">
        <v>453</v>
      </c>
      <c r="B9" t="s">
        <v>454</v>
      </c>
      <c r="C9" t="s">
        <v>455</v>
      </c>
    </row>
    <row r="10" spans="1:6" x14ac:dyDescent="0.25">
      <c r="A10" t="s">
        <v>449</v>
      </c>
      <c r="B10" t="s">
        <v>216</v>
      </c>
      <c r="C10">
        <f>VLOOKUP(B10,A1:F7,3,FALSE)</f>
        <v>220000</v>
      </c>
    </row>
    <row r="11" spans="1:6" x14ac:dyDescent="0.25">
      <c r="A11" t="s">
        <v>450</v>
      </c>
      <c r="B11" t="s">
        <v>215</v>
      </c>
      <c r="C11" s="16">
        <f>VLOOKUP(B11,A1:F7,4,FALSE)</f>
        <v>185000</v>
      </c>
    </row>
    <row r="12" spans="1:6" x14ac:dyDescent="0.25">
      <c r="A12" t="s">
        <v>452</v>
      </c>
      <c r="B12" t="s">
        <v>218</v>
      </c>
      <c r="C12" s="16">
        <f>VLOOKUP(B12,A2:F7,6,FALSE)</f>
        <v>230000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10" sqref="B10"/>
    </sheetView>
  </sheetViews>
  <sheetFormatPr defaultRowHeight="15" x14ac:dyDescent="0.25"/>
  <sheetData>
    <row r="1" spans="1:2" x14ac:dyDescent="0.25">
      <c r="A1" t="s">
        <v>491</v>
      </c>
      <c r="B1" t="s">
        <v>492</v>
      </c>
    </row>
    <row r="2" spans="1:2" x14ac:dyDescent="0.25">
      <c r="A2" t="s">
        <v>493</v>
      </c>
      <c r="B2">
        <v>254872</v>
      </c>
    </row>
    <row r="3" spans="1:2" x14ac:dyDescent="0.25">
      <c r="A3" s="16" t="s">
        <v>494</v>
      </c>
      <c r="B3">
        <v>189541</v>
      </c>
    </row>
    <row r="4" spans="1:2" x14ac:dyDescent="0.25">
      <c r="A4" s="16" t="s">
        <v>495</v>
      </c>
      <c r="B4">
        <v>321457</v>
      </c>
    </row>
    <row r="5" spans="1:2" x14ac:dyDescent="0.25">
      <c r="A5" s="16" t="s">
        <v>496</v>
      </c>
      <c r="B5">
        <v>217890</v>
      </c>
    </row>
    <row r="6" spans="1:2" x14ac:dyDescent="0.25">
      <c r="A6" s="16" t="s">
        <v>497</v>
      </c>
      <c r="B6">
        <v>482569</v>
      </c>
    </row>
    <row r="7" spans="1:2" x14ac:dyDescent="0.25">
      <c r="A7" s="16" t="s">
        <v>498</v>
      </c>
      <c r="B7">
        <v>314872</v>
      </c>
    </row>
    <row r="8" spans="1:2" x14ac:dyDescent="0.25">
      <c r="A8" s="16" t="s">
        <v>499</v>
      </c>
      <c r="B8">
        <v>152489</v>
      </c>
    </row>
    <row r="10" spans="1:2" x14ac:dyDescent="0.25">
      <c r="A10" t="s">
        <v>51</v>
      </c>
      <c r="B10">
        <f>COUNTIF(B2:B8, "&gt;=" &amp; AVERAGE(B2:B8))</f>
        <v>3</v>
      </c>
    </row>
    <row r="11" spans="1:2" x14ac:dyDescent="0.25">
      <c r="B11">
        <f>COUNTIF(B2:B8,"&lt;" &amp; AVERAGE(B2:B8))</f>
        <v>4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C5" sqref="C5"/>
    </sheetView>
  </sheetViews>
  <sheetFormatPr defaultRowHeight="15" x14ac:dyDescent="0.25"/>
  <cols>
    <col min="1" max="1" width="18.5703125" customWidth="1"/>
  </cols>
  <sheetData>
    <row r="1" spans="1:3" x14ac:dyDescent="0.25">
      <c r="A1" t="s">
        <v>500</v>
      </c>
      <c r="B1" t="s">
        <v>501</v>
      </c>
      <c r="C1" t="s">
        <v>503</v>
      </c>
    </row>
    <row r="2" spans="1:3" x14ac:dyDescent="0.25">
      <c r="A2" t="s">
        <v>348</v>
      </c>
      <c r="B2">
        <v>150</v>
      </c>
      <c r="C2">
        <f>RANK($B$2:$B$6,$B$2:$B$6,0)</f>
        <v>1</v>
      </c>
    </row>
    <row r="3" spans="1:3" x14ac:dyDescent="0.25">
      <c r="A3" t="s">
        <v>352</v>
      </c>
      <c r="B3">
        <v>90</v>
      </c>
      <c r="C3" s="16">
        <f t="shared" ref="C3:C6" si="0">RANK($B$2:$B$6,$B$2:$B$6,0)</f>
        <v>3</v>
      </c>
    </row>
    <row r="4" spans="1:3" x14ac:dyDescent="0.25">
      <c r="A4" t="s">
        <v>349</v>
      </c>
      <c r="B4">
        <v>120</v>
      </c>
      <c r="C4" s="16">
        <f t="shared" si="0"/>
        <v>2</v>
      </c>
    </row>
    <row r="5" spans="1:3" x14ac:dyDescent="0.25">
      <c r="A5" t="s">
        <v>502</v>
      </c>
      <c r="B5">
        <v>70</v>
      </c>
      <c r="C5" s="16">
        <f>RANK($B$2:$B$6,$B$2:$B$6,0)</f>
        <v>5</v>
      </c>
    </row>
    <row r="6" spans="1:3" x14ac:dyDescent="0.25">
      <c r="A6" t="s">
        <v>350</v>
      </c>
      <c r="B6">
        <v>80</v>
      </c>
      <c r="C6" s="16">
        <f t="shared" si="0"/>
        <v>4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B11" sqref="B11"/>
    </sheetView>
  </sheetViews>
  <sheetFormatPr defaultRowHeight="15" x14ac:dyDescent="0.25"/>
  <cols>
    <col min="1" max="1" width="11.7109375" customWidth="1"/>
    <col min="3" max="4" width="10.42578125" bestFit="1" customWidth="1"/>
  </cols>
  <sheetData>
    <row r="1" spans="1:6" x14ac:dyDescent="0.25">
      <c r="A1" t="s">
        <v>504</v>
      </c>
      <c r="B1" t="s">
        <v>74</v>
      </c>
      <c r="C1" t="s">
        <v>513</v>
      </c>
      <c r="D1" t="s">
        <v>512</v>
      </c>
      <c r="E1" t="s">
        <v>514</v>
      </c>
      <c r="F1" t="s">
        <v>515</v>
      </c>
    </row>
    <row r="2" spans="1:6" x14ac:dyDescent="0.25">
      <c r="A2">
        <v>1</v>
      </c>
      <c r="B2" t="s">
        <v>505</v>
      </c>
      <c r="C2" s="24">
        <v>44923</v>
      </c>
      <c r="D2" s="24">
        <v>44928</v>
      </c>
      <c r="E2">
        <f>YEAR(C2)</f>
        <v>2022</v>
      </c>
      <c r="F2">
        <f>_xlfn.DAYS(D2,C2)</f>
        <v>5</v>
      </c>
    </row>
    <row r="3" spans="1:6" x14ac:dyDescent="0.25">
      <c r="A3" s="16">
        <v>2</v>
      </c>
      <c r="B3" t="s">
        <v>506</v>
      </c>
      <c r="C3" s="24">
        <v>45000</v>
      </c>
      <c r="D3" s="24">
        <v>45003</v>
      </c>
      <c r="E3" s="16">
        <f t="shared" ref="E3:E8" si="0">YEAR(C3)</f>
        <v>2023</v>
      </c>
      <c r="F3">
        <f>_xlfn.DAYS(D3,C3)</f>
        <v>3</v>
      </c>
    </row>
    <row r="4" spans="1:6" x14ac:dyDescent="0.25">
      <c r="A4" s="16">
        <v>3</v>
      </c>
      <c r="B4" t="s">
        <v>507</v>
      </c>
      <c r="C4" s="24">
        <v>45066</v>
      </c>
      <c r="D4" s="24">
        <v>45071</v>
      </c>
      <c r="E4" s="16">
        <f t="shared" si="0"/>
        <v>2023</v>
      </c>
      <c r="F4" s="16">
        <f t="shared" ref="F4:F8" si="1">_xlfn.DAYS(D4,C4)</f>
        <v>5</v>
      </c>
    </row>
    <row r="5" spans="1:6" x14ac:dyDescent="0.25">
      <c r="A5" s="16">
        <v>4</v>
      </c>
      <c r="B5" t="s">
        <v>508</v>
      </c>
      <c r="C5" s="24">
        <v>45117</v>
      </c>
      <c r="D5" s="24">
        <v>45122</v>
      </c>
      <c r="E5" s="16">
        <f t="shared" si="0"/>
        <v>2023</v>
      </c>
      <c r="F5" s="16">
        <f t="shared" si="1"/>
        <v>5</v>
      </c>
    </row>
    <row r="6" spans="1:6" x14ac:dyDescent="0.25">
      <c r="A6" s="16">
        <v>5</v>
      </c>
      <c r="B6" t="s">
        <v>509</v>
      </c>
      <c r="C6" s="24">
        <v>45174</v>
      </c>
      <c r="D6" s="24">
        <v>45179</v>
      </c>
      <c r="E6" s="16">
        <f t="shared" si="0"/>
        <v>2023</v>
      </c>
      <c r="F6" s="16">
        <f t="shared" si="1"/>
        <v>5</v>
      </c>
    </row>
    <row r="7" spans="1:6" x14ac:dyDescent="0.25">
      <c r="A7" s="16">
        <v>6</v>
      </c>
      <c r="B7" t="s">
        <v>510</v>
      </c>
      <c r="C7" s="24">
        <v>45242</v>
      </c>
      <c r="D7" s="24">
        <v>45245</v>
      </c>
      <c r="E7" s="16">
        <f t="shared" si="0"/>
        <v>2023</v>
      </c>
      <c r="F7" s="16">
        <f t="shared" si="1"/>
        <v>3</v>
      </c>
    </row>
    <row r="8" spans="1:6" x14ac:dyDescent="0.25">
      <c r="A8" s="16">
        <v>7</v>
      </c>
      <c r="B8" t="s">
        <v>511</v>
      </c>
      <c r="C8" s="24">
        <v>45299</v>
      </c>
      <c r="D8" s="24">
        <v>45303</v>
      </c>
      <c r="E8" s="16">
        <f t="shared" si="0"/>
        <v>2024</v>
      </c>
      <c r="F8" s="16">
        <f t="shared" si="1"/>
        <v>4</v>
      </c>
    </row>
    <row r="11" spans="1:6" x14ac:dyDescent="0.25">
      <c r="A11" t="s">
        <v>516</v>
      </c>
      <c r="B11">
        <f>COUNTIFS(C2:C8,"&gt;=01/01/2023",C2:C8,"&lt;=31/12/2023")</f>
        <v>5</v>
      </c>
    </row>
    <row r="12" spans="1:6" x14ac:dyDescent="0.25">
      <c r="A12" t="s">
        <v>517</v>
      </c>
      <c r="B12">
        <f>AVERAGE(F2:F8)</f>
        <v>4.2857142857142856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F28" sqref="F28"/>
    </sheetView>
  </sheetViews>
  <sheetFormatPr defaultRowHeight="15" x14ac:dyDescent="0.25"/>
  <sheetData>
    <row r="1" spans="1:5" x14ac:dyDescent="0.25">
      <c r="A1" t="s">
        <v>524</v>
      </c>
      <c r="B1" t="s">
        <v>525</v>
      </c>
      <c r="C1" t="s">
        <v>346</v>
      </c>
      <c r="D1" t="s">
        <v>539</v>
      </c>
      <c r="E1" t="s">
        <v>545</v>
      </c>
    </row>
    <row r="2" spans="1:5" x14ac:dyDescent="0.25">
      <c r="A2" t="s">
        <v>529</v>
      </c>
      <c r="B2" t="s">
        <v>526</v>
      </c>
      <c r="C2">
        <v>2018</v>
      </c>
      <c r="D2" t="s">
        <v>300</v>
      </c>
      <c r="E2" t="str">
        <f>RIGHT(A2,4)</f>
        <v>1234</v>
      </c>
    </row>
    <row r="3" spans="1:5" x14ac:dyDescent="0.25">
      <c r="A3" t="s">
        <v>530</v>
      </c>
      <c r="B3" t="s">
        <v>527</v>
      </c>
      <c r="C3">
        <v>2019</v>
      </c>
      <c r="D3" t="s">
        <v>67</v>
      </c>
      <c r="E3" s="16" t="str">
        <f t="shared" ref="E3:E11" si="0">RIGHT(A3,4)</f>
        <v>5678</v>
      </c>
    </row>
    <row r="4" spans="1:5" x14ac:dyDescent="0.25">
      <c r="A4" t="s">
        <v>531</v>
      </c>
      <c r="B4" t="s">
        <v>528</v>
      </c>
      <c r="C4">
        <v>2020</v>
      </c>
      <c r="D4" t="s">
        <v>68</v>
      </c>
      <c r="E4" s="16" t="str">
        <f t="shared" si="0"/>
        <v>9876</v>
      </c>
    </row>
    <row r="5" spans="1:5" x14ac:dyDescent="0.25">
      <c r="A5" t="s">
        <v>532</v>
      </c>
      <c r="B5" t="s">
        <v>526</v>
      </c>
      <c r="C5">
        <v>2017</v>
      </c>
      <c r="D5" t="s">
        <v>386</v>
      </c>
      <c r="E5" s="16" t="str">
        <f t="shared" si="0"/>
        <v>2345</v>
      </c>
    </row>
    <row r="6" spans="1:5" x14ac:dyDescent="0.25">
      <c r="A6" t="s">
        <v>533</v>
      </c>
      <c r="B6" t="s">
        <v>527</v>
      </c>
      <c r="C6">
        <v>2016</v>
      </c>
      <c r="D6" t="s">
        <v>69</v>
      </c>
      <c r="E6" s="16" t="str">
        <f t="shared" si="0"/>
        <v>8765</v>
      </c>
    </row>
    <row r="7" spans="1:5" x14ac:dyDescent="0.25">
      <c r="A7" t="s">
        <v>534</v>
      </c>
      <c r="B7" t="s">
        <v>528</v>
      </c>
      <c r="C7">
        <v>2021</v>
      </c>
      <c r="D7" t="s">
        <v>540</v>
      </c>
      <c r="E7" s="16" t="str">
        <f t="shared" si="0"/>
        <v>3456</v>
      </c>
    </row>
    <row r="8" spans="1:5" x14ac:dyDescent="0.25">
      <c r="A8" t="s">
        <v>535</v>
      </c>
      <c r="B8" t="s">
        <v>526</v>
      </c>
      <c r="C8">
        <v>2015</v>
      </c>
      <c r="D8" t="s">
        <v>541</v>
      </c>
      <c r="E8" s="16" t="str">
        <f t="shared" si="0"/>
        <v>6789</v>
      </c>
    </row>
    <row r="9" spans="1:5" x14ac:dyDescent="0.25">
      <c r="A9" t="s">
        <v>536</v>
      </c>
      <c r="B9" t="s">
        <v>527</v>
      </c>
      <c r="C9">
        <v>2014</v>
      </c>
      <c r="D9" t="s">
        <v>542</v>
      </c>
      <c r="E9" s="16" t="str">
        <f t="shared" si="0"/>
        <v>4321</v>
      </c>
    </row>
    <row r="10" spans="1:5" x14ac:dyDescent="0.25">
      <c r="A10" t="s">
        <v>537</v>
      </c>
      <c r="B10" t="s">
        <v>528</v>
      </c>
      <c r="C10">
        <v>2013</v>
      </c>
      <c r="D10" t="s">
        <v>543</v>
      </c>
      <c r="E10" s="16" t="str">
        <f t="shared" si="0"/>
        <v>1234</v>
      </c>
    </row>
    <row r="11" spans="1:5" x14ac:dyDescent="0.25">
      <c r="A11" t="s">
        <v>538</v>
      </c>
      <c r="B11" t="s">
        <v>526</v>
      </c>
      <c r="C11">
        <v>2012</v>
      </c>
      <c r="D11" t="s">
        <v>544</v>
      </c>
      <c r="E11" s="16" t="str">
        <f t="shared" si="0"/>
        <v>7890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E6" sqref="E6"/>
    </sheetView>
  </sheetViews>
  <sheetFormatPr defaultRowHeight="15" x14ac:dyDescent="0.25"/>
  <cols>
    <col min="2" max="2" width="10.42578125" bestFit="1" customWidth="1"/>
    <col min="4" max="4" width="10.42578125" bestFit="1" customWidth="1"/>
  </cols>
  <sheetData>
    <row r="1" spans="1:5" x14ac:dyDescent="0.25">
      <c r="A1" t="s">
        <v>546</v>
      </c>
      <c r="B1" t="s">
        <v>547</v>
      </c>
      <c r="C1" t="s">
        <v>548</v>
      </c>
      <c r="D1" t="s">
        <v>550</v>
      </c>
      <c r="E1" s="16" t="s">
        <v>549</v>
      </c>
    </row>
    <row r="2" spans="1:5" x14ac:dyDescent="0.25">
      <c r="A2" t="s">
        <v>41</v>
      </c>
      <c r="B2" s="24">
        <v>46039</v>
      </c>
      <c r="C2">
        <v>30</v>
      </c>
      <c r="D2" s="24">
        <f>B2+C2</f>
        <v>46069</v>
      </c>
      <c r="E2" t="str">
        <f ca="1">IF(TODAY()&gt;D2,"Deployed","In Progress")</f>
        <v>Deployed</v>
      </c>
    </row>
    <row r="3" spans="1:5" x14ac:dyDescent="0.25">
      <c r="A3" s="16" t="s">
        <v>42</v>
      </c>
      <c r="B3" s="24">
        <v>46034</v>
      </c>
      <c r="C3">
        <v>45</v>
      </c>
      <c r="D3" s="24">
        <f t="shared" ref="D3:D6" si="0">B3+C3</f>
        <v>46079</v>
      </c>
      <c r="E3" s="16" t="str">
        <f t="shared" ref="E3:E6" ca="1" si="1">IF(TODAY()&gt;D3,"Deployed","In Progress")</f>
        <v>Deployed</v>
      </c>
    </row>
    <row r="4" spans="1:5" x14ac:dyDescent="0.25">
      <c r="A4" s="16" t="s">
        <v>43</v>
      </c>
      <c r="B4" s="24">
        <v>46024</v>
      </c>
      <c r="C4">
        <v>60</v>
      </c>
      <c r="D4" s="24">
        <f t="shared" si="0"/>
        <v>46084</v>
      </c>
      <c r="E4" s="16" t="str">
        <f t="shared" ca="1" si="1"/>
        <v>Deployed</v>
      </c>
    </row>
    <row r="5" spans="1:5" x14ac:dyDescent="0.25">
      <c r="A5" s="16" t="s">
        <v>44</v>
      </c>
      <c r="B5" s="24">
        <v>46054</v>
      </c>
      <c r="C5">
        <v>90</v>
      </c>
      <c r="D5" s="24">
        <f t="shared" si="0"/>
        <v>46144</v>
      </c>
      <c r="E5" s="16" t="str">
        <f t="shared" ca="1" si="1"/>
        <v>In Progress</v>
      </c>
    </row>
    <row r="6" spans="1:5" x14ac:dyDescent="0.25">
      <c r="A6" s="16" t="s">
        <v>45</v>
      </c>
      <c r="B6" s="24">
        <v>45884</v>
      </c>
      <c r="C6">
        <v>120</v>
      </c>
      <c r="D6" s="24">
        <f t="shared" si="0"/>
        <v>46004</v>
      </c>
      <c r="E6" s="16" t="str">
        <f t="shared" ca="1" si="1"/>
        <v>Deployed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C3" sqref="C3"/>
    </sheetView>
  </sheetViews>
  <sheetFormatPr defaultRowHeight="15" x14ac:dyDescent="0.25"/>
  <cols>
    <col min="2" max="2" width="10.42578125" bestFit="1" customWidth="1"/>
    <col min="4" max="4" width="10.42578125" bestFit="1" customWidth="1"/>
  </cols>
  <sheetData>
    <row r="1" spans="1:5" x14ac:dyDescent="0.25">
      <c r="A1" t="s">
        <v>551</v>
      </c>
      <c r="B1" t="s">
        <v>552</v>
      </c>
      <c r="C1" t="s">
        <v>553</v>
      </c>
      <c r="D1" t="s">
        <v>554</v>
      </c>
      <c r="E1" t="s">
        <v>555</v>
      </c>
    </row>
    <row r="2" spans="1:5" x14ac:dyDescent="0.25">
      <c r="A2">
        <v>1</v>
      </c>
      <c r="B2" s="24">
        <v>45724</v>
      </c>
      <c r="C2">
        <v>3</v>
      </c>
      <c r="D2" s="24">
        <f>B2+DATE(,C2,)</f>
        <v>45784</v>
      </c>
      <c r="E2" t="str">
        <f ca="1">IF(D2&lt;TODAY(),"Overdue","On time")</f>
        <v>Overdue</v>
      </c>
    </row>
    <row r="3" spans="1:5" x14ac:dyDescent="0.25">
      <c r="A3" s="16">
        <v>2</v>
      </c>
      <c r="B3" s="24">
        <v>46083</v>
      </c>
      <c r="C3">
        <v>2</v>
      </c>
      <c r="D3" s="24">
        <f t="shared" ref="D3:D6" si="0">B3+DATE(,C3,)</f>
        <v>46114</v>
      </c>
      <c r="E3" s="16" t="str">
        <f t="shared" ref="E3:E6" ca="1" si="1">IF(D3&lt;TODAY(),"Overdue","On time")</f>
        <v>On time</v>
      </c>
    </row>
    <row r="4" spans="1:5" x14ac:dyDescent="0.25">
      <c r="A4" s="16">
        <v>3</v>
      </c>
      <c r="B4" s="24">
        <v>46082</v>
      </c>
      <c r="C4">
        <v>4</v>
      </c>
      <c r="D4" s="24">
        <f t="shared" si="0"/>
        <v>46173</v>
      </c>
      <c r="E4" s="16" t="str">
        <f t="shared" ca="1" si="1"/>
        <v>On time</v>
      </c>
    </row>
    <row r="5" spans="1:5" x14ac:dyDescent="0.25">
      <c r="A5" s="16">
        <v>4</v>
      </c>
      <c r="B5" s="24">
        <v>45728</v>
      </c>
      <c r="C5">
        <v>1</v>
      </c>
      <c r="D5" s="24">
        <f t="shared" si="0"/>
        <v>45728</v>
      </c>
      <c r="E5" s="16" t="str">
        <f t="shared" ca="1" si="1"/>
        <v>Overdue</v>
      </c>
    </row>
    <row r="6" spans="1:5" x14ac:dyDescent="0.25">
      <c r="A6" s="16">
        <v>5</v>
      </c>
      <c r="B6" s="24">
        <v>45725</v>
      </c>
      <c r="C6">
        <v>3</v>
      </c>
      <c r="D6" s="24">
        <f t="shared" si="0"/>
        <v>45785</v>
      </c>
      <c r="E6" s="16" t="str">
        <f t="shared" ca="1" si="1"/>
        <v>Overdue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G30" sqref="G30"/>
    </sheetView>
  </sheetViews>
  <sheetFormatPr defaultRowHeight="15" x14ac:dyDescent="0.25"/>
  <cols>
    <col min="2" max="2" width="15.5703125" customWidth="1"/>
  </cols>
  <sheetData>
    <row r="1" spans="1:3" x14ac:dyDescent="0.25">
      <c r="A1" t="s">
        <v>187</v>
      </c>
      <c r="B1" t="s">
        <v>74</v>
      </c>
      <c r="C1" t="s">
        <v>556</v>
      </c>
    </row>
    <row r="2" spans="1:3" x14ac:dyDescent="0.25">
      <c r="A2">
        <v>101</v>
      </c>
      <c r="B2" t="s">
        <v>557</v>
      </c>
      <c r="C2" t="str">
        <f>PROPER(B2)</f>
        <v>John Doe</v>
      </c>
    </row>
    <row r="3" spans="1:3" x14ac:dyDescent="0.25">
      <c r="A3" s="16">
        <v>102</v>
      </c>
      <c r="B3" t="s">
        <v>558</v>
      </c>
      <c r="C3" s="16" t="str">
        <f t="shared" ref="C3:C6" si="0">PROPER(B3)</f>
        <v>Jane Smith</v>
      </c>
    </row>
    <row r="4" spans="1:3" x14ac:dyDescent="0.25">
      <c r="A4" s="16">
        <v>103</v>
      </c>
      <c r="B4" t="s">
        <v>559</v>
      </c>
      <c r="C4" s="16" t="str">
        <f t="shared" si="0"/>
        <v>Rahul Kumar</v>
      </c>
    </row>
    <row r="5" spans="1:3" x14ac:dyDescent="0.25">
      <c r="A5" s="16">
        <v>104</v>
      </c>
      <c r="B5" t="s">
        <v>560</v>
      </c>
      <c r="C5" s="16" t="str">
        <f t="shared" si="0"/>
        <v>Sonali Roy</v>
      </c>
    </row>
    <row r="6" spans="1:3" x14ac:dyDescent="0.25">
      <c r="A6" s="16">
        <v>105</v>
      </c>
      <c r="B6" t="s">
        <v>561</v>
      </c>
      <c r="C6" s="16" t="str">
        <f t="shared" si="0"/>
        <v>Kapil Dev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F15" sqref="F15"/>
    </sheetView>
  </sheetViews>
  <sheetFormatPr defaultRowHeight="15" x14ac:dyDescent="0.25"/>
  <cols>
    <col min="4" max="4" width="10.42578125" bestFit="1" customWidth="1"/>
  </cols>
  <sheetData>
    <row r="1" spans="1:6" x14ac:dyDescent="0.25">
      <c r="A1" t="s">
        <v>564</v>
      </c>
      <c r="B1" t="s">
        <v>570</v>
      </c>
      <c r="C1" t="s">
        <v>575</v>
      </c>
      <c r="D1" t="s">
        <v>579</v>
      </c>
      <c r="E1" t="s">
        <v>580</v>
      </c>
    </row>
    <row r="2" spans="1:6" x14ac:dyDescent="0.25">
      <c r="A2" t="s">
        <v>41</v>
      </c>
      <c r="B2" t="s">
        <v>571</v>
      </c>
      <c r="C2" t="s">
        <v>576</v>
      </c>
      <c r="D2" s="24">
        <v>45092</v>
      </c>
      <c r="E2">
        <f ca="1">_xlfn.DAYS(TODAY(),D2)</f>
        <v>1017</v>
      </c>
    </row>
    <row r="3" spans="1:6" x14ac:dyDescent="0.25">
      <c r="A3" s="16" t="s">
        <v>42</v>
      </c>
      <c r="B3" t="s">
        <v>299</v>
      </c>
      <c r="C3" s="16" t="s">
        <v>577</v>
      </c>
      <c r="D3" s="24">
        <v>45108</v>
      </c>
      <c r="E3" s="16">
        <f t="shared" ref="E3:E11" ca="1" si="0">_xlfn.DAYS(TODAY(),D3)</f>
        <v>1001</v>
      </c>
    </row>
    <row r="4" spans="1:6" x14ac:dyDescent="0.25">
      <c r="A4" s="16" t="s">
        <v>43</v>
      </c>
      <c r="B4" t="s">
        <v>300</v>
      </c>
      <c r="C4" s="16" t="s">
        <v>578</v>
      </c>
      <c r="D4" s="24">
        <v>45117</v>
      </c>
      <c r="E4" s="16">
        <f t="shared" ca="1" si="0"/>
        <v>992</v>
      </c>
    </row>
    <row r="5" spans="1:6" x14ac:dyDescent="0.25">
      <c r="A5" s="16" t="s">
        <v>44</v>
      </c>
      <c r="B5" t="s">
        <v>301</v>
      </c>
      <c r="C5" s="16" t="s">
        <v>576</v>
      </c>
      <c r="D5" s="24">
        <v>45127</v>
      </c>
      <c r="E5" s="16">
        <f t="shared" ca="1" si="0"/>
        <v>982</v>
      </c>
    </row>
    <row r="6" spans="1:6" x14ac:dyDescent="0.25">
      <c r="A6" s="16" t="s">
        <v>45</v>
      </c>
      <c r="B6" t="s">
        <v>562</v>
      </c>
      <c r="C6" s="16" t="s">
        <v>576</v>
      </c>
      <c r="D6" s="24">
        <v>45143</v>
      </c>
      <c r="E6" s="16">
        <f t="shared" ca="1" si="0"/>
        <v>966</v>
      </c>
    </row>
    <row r="7" spans="1:6" x14ac:dyDescent="0.25">
      <c r="A7" s="16" t="s">
        <v>565</v>
      </c>
      <c r="B7" t="s">
        <v>302</v>
      </c>
      <c r="C7" s="16" t="s">
        <v>577</v>
      </c>
      <c r="D7" s="24">
        <v>45153</v>
      </c>
      <c r="E7" s="16">
        <f t="shared" ca="1" si="0"/>
        <v>956</v>
      </c>
    </row>
    <row r="8" spans="1:6" x14ac:dyDescent="0.25">
      <c r="A8" s="16" t="s">
        <v>566</v>
      </c>
      <c r="B8" t="s">
        <v>572</v>
      </c>
      <c r="C8" t="s">
        <v>578</v>
      </c>
      <c r="D8" s="24">
        <v>45170</v>
      </c>
      <c r="E8" s="16">
        <f t="shared" ca="1" si="0"/>
        <v>939</v>
      </c>
    </row>
    <row r="9" spans="1:6" x14ac:dyDescent="0.25">
      <c r="A9" s="16" t="s">
        <v>567</v>
      </c>
      <c r="B9" t="s">
        <v>573</v>
      </c>
      <c r="C9" t="s">
        <v>576</v>
      </c>
      <c r="D9" s="24">
        <v>45719</v>
      </c>
      <c r="E9" s="16">
        <f t="shared" ca="1" si="0"/>
        <v>390</v>
      </c>
    </row>
    <row r="10" spans="1:6" x14ac:dyDescent="0.25">
      <c r="A10" s="16" t="s">
        <v>568</v>
      </c>
      <c r="B10" t="s">
        <v>574</v>
      </c>
      <c r="C10" t="s">
        <v>576</v>
      </c>
      <c r="D10" s="24">
        <v>46054</v>
      </c>
      <c r="E10" s="16">
        <f t="shared" ca="1" si="0"/>
        <v>55</v>
      </c>
    </row>
    <row r="11" spans="1:6" x14ac:dyDescent="0.25">
      <c r="A11" s="16" t="s">
        <v>569</v>
      </c>
      <c r="B11" t="s">
        <v>563</v>
      </c>
      <c r="C11" t="s">
        <v>578</v>
      </c>
      <c r="D11" s="24">
        <v>46084</v>
      </c>
      <c r="E11" s="16">
        <f t="shared" ca="1" si="0"/>
        <v>25</v>
      </c>
    </row>
    <row r="12" spans="1:6" x14ac:dyDescent="0.25">
      <c r="E12" s="16"/>
    </row>
    <row r="15" spans="1:6" x14ac:dyDescent="0.25">
      <c r="B15" t="s">
        <v>581</v>
      </c>
      <c r="E15" t="s">
        <v>571</v>
      </c>
      <c r="F15">
        <f ca="1">AVERAGEIF(B2:B11,"Bangalore",E2:E11)</f>
        <v>1017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G16" sqref="G16"/>
    </sheetView>
  </sheetViews>
  <sheetFormatPr defaultRowHeight="15" x14ac:dyDescent="0.25"/>
  <cols>
    <col min="2" max="2" width="17.85546875" customWidth="1"/>
    <col min="3" max="3" width="13.7109375" customWidth="1"/>
  </cols>
  <sheetData>
    <row r="1" spans="1:7" x14ac:dyDescent="0.25">
      <c r="A1" t="s">
        <v>228</v>
      </c>
      <c r="B1" t="s">
        <v>456</v>
      </c>
      <c r="C1" t="s">
        <v>457</v>
      </c>
      <c r="D1" t="s">
        <v>458</v>
      </c>
      <c r="E1" t="s">
        <v>459</v>
      </c>
      <c r="F1" t="s">
        <v>460</v>
      </c>
      <c r="G1" t="s">
        <v>461</v>
      </c>
    </row>
    <row r="2" spans="1:7" x14ac:dyDescent="0.25">
      <c r="A2">
        <v>1</v>
      </c>
      <c r="B2" t="s">
        <v>462</v>
      </c>
      <c r="C2" t="s">
        <v>79</v>
      </c>
      <c r="D2">
        <v>50</v>
      </c>
      <c r="E2">
        <v>3000</v>
      </c>
      <c r="F2">
        <v>3200</v>
      </c>
      <c r="G2">
        <v>160000</v>
      </c>
    </row>
    <row r="3" spans="1:7" x14ac:dyDescent="0.25">
      <c r="A3">
        <v>2</v>
      </c>
      <c r="B3" t="s">
        <v>463</v>
      </c>
      <c r="C3" t="s">
        <v>472</v>
      </c>
      <c r="D3">
        <v>100</v>
      </c>
      <c r="E3">
        <v>1500</v>
      </c>
      <c r="F3">
        <v>1400</v>
      </c>
      <c r="G3">
        <v>140000</v>
      </c>
    </row>
    <row r="4" spans="1:7" x14ac:dyDescent="0.25">
      <c r="A4" s="16">
        <v>3</v>
      </c>
      <c r="B4" t="s">
        <v>464</v>
      </c>
      <c r="C4" t="s">
        <v>473</v>
      </c>
      <c r="D4">
        <v>200</v>
      </c>
      <c r="E4">
        <v>2000</v>
      </c>
      <c r="F4">
        <v>2100</v>
      </c>
      <c r="G4">
        <v>420000</v>
      </c>
    </row>
    <row r="5" spans="1:7" x14ac:dyDescent="0.25">
      <c r="A5" s="16">
        <v>4</v>
      </c>
      <c r="B5" t="s">
        <v>465</v>
      </c>
      <c r="C5" t="s">
        <v>474</v>
      </c>
      <c r="D5">
        <v>150</v>
      </c>
      <c r="E5">
        <v>1800</v>
      </c>
      <c r="F5">
        <v>1900</v>
      </c>
      <c r="G5">
        <v>285000</v>
      </c>
    </row>
    <row r="6" spans="1:7" x14ac:dyDescent="0.25">
      <c r="A6" s="16">
        <v>5</v>
      </c>
      <c r="B6" t="s">
        <v>466</v>
      </c>
      <c r="C6" t="s">
        <v>475</v>
      </c>
      <c r="D6">
        <v>80</v>
      </c>
      <c r="E6">
        <v>400</v>
      </c>
      <c r="F6">
        <v>420</v>
      </c>
      <c r="G6">
        <v>33600</v>
      </c>
    </row>
    <row r="7" spans="1:7" x14ac:dyDescent="0.25">
      <c r="A7" s="16">
        <v>6</v>
      </c>
      <c r="B7" t="s">
        <v>467</v>
      </c>
      <c r="C7" t="s">
        <v>476</v>
      </c>
      <c r="D7">
        <v>120</v>
      </c>
      <c r="E7">
        <v>500</v>
      </c>
      <c r="F7">
        <v>490</v>
      </c>
      <c r="G7">
        <v>58800</v>
      </c>
    </row>
    <row r="8" spans="1:7" x14ac:dyDescent="0.25">
      <c r="A8" s="16">
        <v>7</v>
      </c>
      <c r="B8" t="s">
        <v>468</v>
      </c>
      <c r="C8" t="s">
        <v>477</v>
      </c>
      <c r="D8">
        <v>250</v>
      </c>
      <c r="E8">
        <v>350</v>
      </c>
      <c r="F8">
        <v>360</v>
      </c>
      <c r="G8">
        <v>90000</v>
      </c>
    </row>
    <row r="9" spans="1:7" x14ac:dyDescent="0.25">
      <c r="A9" s="16">
        <v>8</v>
      </c>
      <c r="B9" t="s">
        <v>469</v>
      </c>
      <c r="C9" t="s">
        <v>478</v>
      </c>
      <c r="D9">
        <v>70</v>
      </c>
      <c r="E9">
        <v>900</v>
      </c>
      <c r="F9">
        <v>950</v>
      </c>
      <c r="G9">
        <v>66500</v>
      </c>
    </row>
    <row r="10" spans="1:7" x14ac:dyDescent="0.25">
      <c r="A10" s="16">
        <v>9</v>
      </c>
      <c r="B10" t="s">
        <v>470</v>
      </c>
      <c r="C10" t="s">
        <v>479</v>
      </c>
      <c r="D10">
        <v>60</v>
      </c>
      <c r="E10">
        <v>650</v>
      </c>
      <c r="F10">
        <v>700</v>
      </c>
      <c r="G10">
        <v>42000</v>
      </c>
    </row>
    <row r="11" spans="1:7" x14ac:dyDescent="0.25">
      <c r="A11" s="16">
        <v>10</v>
      </c>
      <c r="B11" t="s">
        <v>471</v>
      </c>
      <c r="C11" t="s">
        <v>480</v>
      </c>
      <c r="D11">
        <v>90</v>
      </c>
      <c r="E11">
        <v>700</v>
      </c>
      <c r="F11">
        <v>720</v>
      </c>
      <c r="G11">
        <v>64800</v>
      </c>
    </row>
    <row r="13" spans="1:7" x14ac:dyDescent="0.25">
      <c r="B13" t="s">
        <v>481</v>
      </c>
      <c r="C13" t="s">
        <v>464</v>
      </c>
      <c r="D13">
        <f>MATCH("Vivek Gupta",B2:B11,0)</f>
        <v>3</v>
      </c>
    </row>
    <row r="14" spans="1:7" x14ac:dyDescent="0.25">
      <c r="B14" t="s">
        <v>482</v>
      </c>
      <c r="C14" t="s">
        <v>474</v>
      </c>
      <c r="D14" s="16">
        <f>VLOOKUP(C14,C1:G11,2,FALSE)</f>
        <v>150</v>
      </c>
    </row>
    <row r="15" spans="1:7" x14ac:dyDescent="0.25">
      <c r="B15" t="s">
        <v>483</v>
      </c>
      <c r="C15" t="s">
        <v>475</v>
      </c>
      <c r="D15" s="16">
        <f>VLOOKUP(C15,C1:G11,4)</f>
        <v>420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F6" sqref="F6"/>
    </sheetView>
  </sheetViews>
  <sheetFormatPr defaultRowHeight="15" x14ac:dyDescent="0.25"/>
  <sheetData>
    <row r="1" spans="1:6" x14ac:dyDescent="0.25">
      <c r="A1" t="s">
        <v>74</v>
      </c>
      <c r="B1" t="s">
        <v>585</v>
      </c>
      <c r="C1" t="s">
        <v>586</v>
      </c>
      <c r="D1" t="s">
        <v>587</v>
      </c>
      <c r="E1" t="s">
        <v>282</v>
      </c>
      <c r="F1" t="s">
        <v>283</v>
      </c>
    </row>
    <row r="2" spans="1:6" x14ac:dyDescent="0.25">
      <c r="A2" t="s">
        <v>582</v>
      </c>
      <c r="B2">
        <v>8500</v>
      </c>
      <c r="C2" t="str">
        <f>IF(AND(B2&gt;=10000, B2&lt;20000), "Platinum",
IF(AND(B2&gt;=5000, B2&lt;10000), "Gold",
IF(AND(B2&gt;=2000, B2&lt;5000), "Silver",
IF(B2&lt;2000, "Regular", "Not Suitable"))))</f>
        <v>Gold</v>
      </c>
      <c r="D2" t="str">
        <f>IF(C2="Platinum","15%",
IF(C2="Gold","10%",
IF(C2="Silver","5%",
IF(C2="Regular","No Discount",""))))</f>
        <v>10%</v>
      </c>
      <c r="E2">
        <f>D2*B2</f>
        <v>850</v>
      </c>
      <c r="F2">
        <f>B2-E2</f>
        <v>7650</v>
      </c>
    </row>
    <row r="3" spans="1:6" x14ac:dyDescent="0.25">
      <c r="A3" t="s">
        <v>583</v>
      </c>
      <c r="B3">
        <v>3000</v>
      </c>
      <c r="C3" s="16" t="str">
        <f t="shared" ref="C3:C4" si="0">IF(AND(B3&gt;=10000, B3&lt;20000), "Platinum",
IF(AND(B3&gt;=5000, B3&lt;10000), "Gold",
IF(AND(B3&gt;=2000, B3&lt;5000), "Silver",
IF(B3&lt;2000, "Regular", "Not Suitable"))))</f>
        <v>Silver</v>
      </c>
      <c r="D3" s="16" t="str">
        <f t="shared" ref="D3:D4" si="1">IF(C3="Platinum","15%",
IF(C3="Gold","10%",
IF(C3="Silver","5%",
IF(C3="Regular","No Discount",""))))</f>
        <v>5%</v>
      </c>
      <c r="E3" s="16">
        <f t="shared" ref="E3:E4" si="2">D3*B3</f>
        <v>150</v>
      </c>
      <c r="F3" s="16">
        <f t="shared" ref="F3:F4" si="3">B3-E3</f>
        <v>2850</v>
      </c>
    </row>
    <row r="4" spans="1:6" x14ac:dyDescent="0.25">
      <c r="A4" t="s">
        <v>584</v>
      </c>
      <c r="B4">
        <v>12000</v>
      </c>
      <c r="C4" s="16" t="str">
        <f t="shared" si="0"/>
        <v>Platinum</v>
      </c>
      <c r="D4" s="16" t="str">
        <f t="shared" si="1"/>
        <v>15%</v>
      </c>
      <c r="E4" s="16">
        <f t="shared" si="2"/>
        <v>1800</v>
      </c>
      <c r="F4" s="16">
        <f t="shared" si="3"/>
        <v>10200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D28" sqref="D28"/>
    </sheetView>
  </sheetViews>
  <sheetFormatPr defaultRowHeight="15" x14ac:dyDescent="0.25"/>
  <sheetData>
    <row r="1" spans="1:3" x14ac:dyDescent="0.25">
      <c r="A1" t="s">
        <v>254</v>
      </c>
      <c r="B1" t="s">
        <v>588</v>
      </c>
      <c r="C1" t="s">
        <v>589</v>
      </c>
    </row>
    <row r="2" spans="1:3" x14ac:dyDescent="0.25">
      <c r="A2" t="s">
        <v>214</v>
      </c>
      <c r="B2">
        <v>15000</v>
      </c>
      <c r="C2">
        <v>8.1999999999999993</v>
      </c>
    </row>
    <row r="3" spans="1:3" x14ac:dyDescent="0.25">
      <c r="A3" s="16" t="s">
        <v>215</v>
      </c>
      <c r="B3">
        <v>16000</v>
      </c>
      <c r="C3">
        <v>8</v>
      </c>
    </row>
    <row r="4" spans="1:3" x14ac:dyDescent="0.25">
      <c r="A4" s="16" t="s">
        <v>216</v>
      </c>
      <c r="B4">
        <v>17000</v>
      </c>
      <c r="C4">
        <v>7.8</v>
      </c>
    </row>
    <row r="5" spans="1:3" x14ac:dyDescent="0.25">
      <c r="A5" s="16" t="s">
        <v>217</v>
      </c>
      <c r="B5">
        <v>18000</v>
      </c>
      <c r="C5">
        <v>7.5</v>
      </c>
    </row>
    <row r="6" spans="1:3" x14ac:dyDescent="0.25">
      <c r="A6" s="16" t="s">
        <v>172</v>
      </c>
      <c r="B6">
        <v>19000</v>
      </c>
      <c r="C6">
        <v>7.2</v>
      </c>
    </row>
    <row r="7" spans="1:3" x14ac:dyDescent="0.25">
      <c r="A7" s="16" t="s">
        <v>218</v>
      </c>
      <c r="B7">
        <v>20000</v>
      </c>
      <c r="C7">
        <v>7</v>
      </c>
    </row>
    <row r="8" spans="1:3" x14ac:dyDescent="0.25">
      <c r="A8" s="16" t="s">
        <v>255</v>
      </c>
      <c r="B8">
        <v>21000</v>
      </c>
      <c r="C8">
        <v>6.8</v>
      </c>
    </row>
    <row r="9" spans="1:3" x14ac:dyDescent="0.25">
      <c r="A9" s="16" t="s">
        <v>256</v>
      </c>
      <c r="B9">
        <v>22000</v>
      </c>
      <c r="C9">
        <v>6.5</v>
      </c>
    </row>
    <row r="10" spans="1:3" x14ac:dyDescent="0.25">
      <c r="A10" s="16" t="s">
        <v>257</v>
      </c>
      <c r="B10">
        <v>23000</v>
      </c>
      <c r="C10">
        <v>6.3</v>
      </c>
    </row>
    <row r="11" spans="1:3" x14ac:dyDescent="0.25">
      <c r="A11" s="16" t="s">
        <v>258</v>
      </c>
      <c r="B11">
        <v>24000</v>
      </c>
      <c r="C11">
        <v>6</v>
      </c>
    </row>
    <row r="12" spans="1:3" x14ac:dyDescent="0.25">
      <c r="A12" s="16" t="s">
        <v>259</v>
      </c>
      <c r="B12">
        <v>25000</v>
      </c>
      <c r="C12">
        <v>5.8</v>
      </c>
    </row>
    <row r="13" spans="1:3" x14ac:dyDescent="0.25">
      <c r="A13" s="16" t="s">
        <v>260</v>
      </c>
      <c r="B13">
        <v>26000</v>
      </c>
      <c r="C13">
        <v>5.5</v>
      </c>
    </row>
    <row r="15" spans="1:3" x14ac:dyDescent="0.25">
      <c r="A15" t="s">
        <v>590</v>
      </c>
      <c r="B15">
        <f>CORREL(B2:B13,C2:C13)</f>
        <v>-0.9993052937251371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I19" sqref="I19"/>
    </sheetView>
  </sheetViews>
  <sheetFormatPr defaultRowHeight="15" x14ac:dyDescent="0.25"/>
  <sheetData>
    <row r="1" spans="1:3" x14ac:dyDescent="0.25">
      <c r="A1" t="s">
        <v>149</v>
      </c>
      <c r="B1" t="s">
        <v>591</v>
      </c>
      <c r="C1" t="s">
        <v>592</v>
      </c>
    </row>
    <row r="2" spans="1:3" x14ac:dyDescent="0.25">
      <c r="A2" t="s">
        <v>266</v>
      </c>
      <c r="B2">
        <v>4</v>
      </c>
      <c r="C2">
        <f>_xlfn.PERCENTRANK.INC($B$2:$B$11, B2)</f>
        <v>0.55500000000000005</v>
      </c>
    </row>
    <row r="3" spans="1:3" x14ac:dyDescent="0.25">
      <c r="A3" s="16" t="s">
        <v>267</v>
      </c>
      <c r="B3">
        <v>2</v>
      </c>
      <c r="C3" s="16">
        <f t="shared" ref="C3:C11" si="0">_xlfn.PERCENTRANK.INC($B$2:$B$11, B3)</f>
        <v>0.111</v>
      </c>
    </row>
    <row r="4" spans="1:3" x14ac:dyDescent="0.25">
      <c r="A4" s="16" t="s">
        <v>268</v>
      </c>
      <c r="B4">
        <v>5</v>
      </c>
      <c r="C4" s="16">
        <f t="shared" si="0"/>
        <v>0.88800000000000001</v>
      </c>
    </row>
    <row r="5" spans="1:3" x14ac:dyDescent="0.25">
      <c r="A5" s="16" t="s">
        <v>269</v>
      </c>
      <c r="B5">
        <v>3</v>
      </c>
      <c r="C5" s="16">
        <f t="shared" si="0"/>
        <v>0.33300000000000002</v>
      </c>
    </row>
    <row r="6" spans="1:3" x14ac:dyDescent="0.25">
      <c r="A6" s="16" t="s">
        <v>270</v>
      </c>
      <c r="B6">
        <v>4</v>
      </c>
      <c r="C6" s="16">
        <f t="shared" si="0"/>
        <v>0.55500000000000005</v>
      </c>
    </row>
    <row r="7" spans="1:3" x14ac:dyDescent="0.25">
      <c r="A7" s="16" t="s">
        <v>271</v>
      </c>
      <c r="B7">
        <v>1</v>
      </c>
      <c r="C7" s="16">
        <f t="shared" si="0"/>
        <v>0</v>
      </c>
    </row>
    <row r="8" spans="1:3" x14ac:dyDescent="0.25">
      <c r="A8" s="16" t="s">
        <v>272</v>
      </c>
      <c r="B8">
        <v>3</v>
      </c>
      <c r="C8" s="16">
        <f t="shared" si="0"/>
        <v>0.33300000000000002</v>
      </c>
    </row>
    <row r="9" spans="1:3" x14ac:dyDescent="0.25">
      <c r="A9" s="16" t="s">
        <v>273</v>
      </c>
      <c r="B9">
        <v>2</v>
      </c>
      <c r="C9" s="16">
        <f t="shared" si="0"/>
        <v>0.111</v>
      </c>
    </row>
    <row r="10" spans="1:3" x14ac:dyDescent="0.25">
      <c r="A10" s="16" t="s">
        <v>274</v>
      </c>
      <c r="B10">
        <v>5</v>
      </c>
      <c r="C10" s="16">
        <f t="shared" si="0"/>
        <v>0.88800000000000001</v>
      </c>
    </row>
    <row r="11" spans="1:3" x14ac:dyDescent="0.25">
      <c r="A11" s="16" t="s">
        <v>275</v>
      </c>
      <c r="B11">
        <v>4</v>
      </c>
      <c r="C11" s="16">
        <f t="shared" si="0"/>
        <v>0.55500000000000005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C5" sqref="C5"/>
    </sheetView>
  </sheetViews>
  <sheetFormatPr defaultRowHeight="15" x14ac:dyDescent="0.25"/>
  <sheetData>
    <row r="1" spans="1:3" x14ac:dyDescent="0.25">
      <c r="A1" t="s">
        <v>593</v>
      </c>
      <c r="B1" t="s">
        <v>594</v>
      </c>
      <c r="C1" t="s">
        <v>595</v>
      </c>
    </row>
    <row r="2" spans="1:3" x14ac:dyDescent="0.25">
      <c r="A2" s="30">
        <v>45474</v>
      </c>
      <c r="B2">
        <v>12345.67</v>
      </c>
      <c r="C2">
        <f>TRUNC(B2)</f>
        <v>12345</v>
      </c>
    </row>
    <row r="3" spans="1:3" x14ac:dyDescent="0.25">
      <c r="A3" s="30">
        <v>45475</v>
      </c>
      <c r="B3">
        <v>9876.5400000000009</v>
      </c>
      <c r="C3" s="16">
        <f t="shared" ref="C3:C8" si="0">TRUNC(B3)</f>
        <v>9876</v>
      </c>
    </row>
    <row r="4" spans="1:3" x14ac:dyDescent="0.25">
      <c r="A4" s="30">
        <v>45476</v>
      </c>
      <c r="B4">
        <v>4567.8900000000003</v>
      </c>
      <c r="C4" s="16">
        <f t="shared" si="0"/>
        <v>4567</v>
      </c>
    </row>
    <row r="5" spans="1:3" x14ac:dyDescent="0.25">
      <c r="A5" s="30">
        <v>45477</v>
      </c>
      <c r="B5">
        <v>11234.56</v>
      </c>
      <c r="C5" s="16">
        <f t="shared" si="0"/>
        <v>11234</v>
      </c>
    </row>
    <row r="6" spans="1:3" x14ac:dyDescent="0.25">
      <c r="A6" s="30">
        <v>45478</v>
      </c>
      <c r="B6">
        <v>7890.12</v>
      </c>
      <c r="C6" s="16">
        <f t="shared" si="0"/>
        <v>7890</v>
      </c>
    </row>
    <row r="7" spans="1:3" x14ac:dyDescent="0.25">
      <c r="A7" s="30">
        <v>45479</v>
      </c>
      <c r="B7">
        <v>5432.1</v>
      </c>
      <c r="C7" s="16">
        <f t="shared" si="0"/>
        <v>5432</v>
      </c>
    </row>
    <row r="8" spans="1:3" x14ac:dyDescent="0.25">
      <c r="A8" s="30">
        <v>45480</v>
      </c>
      <c r="B8">
        <v>6789.34</v>
      </c>
      <c r="C8" s="16">
        <f t="shared" si="0"/>
        <v>6789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C9" sqref="C9"/>
    </sheetView>
  </sheetViews>
  <sheetFormatPr defaultRowHeight="15" x14ac:dyDescent="0.25"/>
  <sheetData>
    <row r="1" spans="1:4" x14ac:dyDescent="0.25">
      <c r="A1" t="s">
        <v>31</v>
      </c>
      <c r="B1" t="s">
        <v>200</v>
      </c>
      <c r="C1" t="s">
        <v>33</v>
      </c>
      <c r="D1" t="s">
        <v>601</v>
      </c>
    </row>
    <row r="2" spans="1:4" x14ac:dyDescent="0.25">
      <c r="A2" t="s">
        <v>428</v>
      </c>
      <c r="B2" t="s">
        <v>596</v>
      </c>
      <c r="C2" t="s">
        <v>602</v>
      </c>
      <c r="D2">
        <v>15000</v>
      </c>
    </row>
    <row r="3" spans="1:4" x14ac:dyDescent="0.25">
      <c r="A3" s="16" t="s">
        <v>429</v>
      </c>
      <c r="B3" t="s">
        <v>597</v>
      </c>
      <c r="C3" t="s">
        <v>602</v>
      </c>
      <c r="D3">
        <v>25000</v>
      </c>
    </row>
    <row r="4" spans="1:4" x14ac:dyDescent="0.25">
      <c r="A4" s="16" t="s">
        <v>430</v>
      </c>
      <c r="B4" t="s">
        <v>598</v>
      </c>
      <c r="C4" t="s">
        <v>603</v>
      </c>
      <c r="D4">
        <v>20000</v>
      </c>
    </row>
    <row r="5" spans="1:4" x14ac:dyDescent="0.25">
      <c r="A5" s="16" t="s">
        <v>431</v>
      </c>
      <c r="B5" t="s">
        <v>599</v>
      </c>
      <c r="C5" t="s">
        <v>604</v>
      </c>
      <c r="D5">
        <v>30000</v>
      </c>
    </row>
    <row r="6" spans="1:4" x14ac:dyDescent="0.25">
      <c r="A6" s="16" t="s">
        <v>432</v>
      </c>
      <c r="B6" t="s">
        <v>600</v>
      </c>
      <c r="C6" t="s">
        <v>602</v>
      </c>
      <c r="D6">
        <v>35000</v>
      </c>
    </row>
    <row r="8" spans="1:4" x14ac:dyDescent="0.25">
      <c r="A8" t="s">
        <v>31</v>
      </c>
      <c r="B8" t="s">
        <v>200</v>
      </c>
      <c r="C8" t="s">
        <v>33</v>
      </c>
      <c r="D8" t="s">
        <v>108</v>
      </c>
    </row>
    <row r="9" spans="1:4" x14ac:dyDescent="0.25">
      <c r="A9" t="s">
        <v>429</v>
      </c>
      <c r="B9" t="str">
        <f>VLOOKUP(A9,A1:D6,2,FALSE)</f>
        <v>AI Analytics</v>
      </c>
      <c r="C9" t="str">
        <f>VLOOKUP(B9,B1:D6,2,FALSE)</f>
        <v>Software</v>
      </c>
      <c r="D9">
        <f>VLOOKUP(B9,B1:D6,3,FALSE)</f>
        <v>25000</v>
      </c>
    </row>
    <row r="10" spans="1:4" x14ac:dyDescent="0.25">
      <c r="A10" t="s">
        <v>432</v>
      </c>
      <c r="B10" t="str">
        <f>VLOOKUP(A10,A1:D6,2,FALSE)</f>
        <v>Image Recognition</v>
      </c>
      <c r="C10" s="16" t="str">
        <f>VLOOKUP(B10,B1:D6,2,FALSE)</f>
        <v>Software</v>
      </c>
      <c r="D10" s="16">
        <f>VLOOKUP(B10,B1:D6,3,FALSE)</f>
        <v>35000</v>
      </c>
    </row>
    <row r="11" spans="1:4" x14ac:dyDescent="0.25">
      <c r="A11" t="s">
        <v>428</v>
      </c>
      <c r="B11" s="16" t="str">
        <f>VLOOKUP(A11,A1:D6,2,FALSE)</f>
        <v>AI Chatbot</v>
      </c>
      <c r="C11" s="16" t="str">
        <f>VLOOKUP(B11,B1:D6,2,FALSE)</f>
        <v>Software</v>
      </c>
      <c r="D11" s="16">
        <f>VLOOKUP(B11,B1:D6,3,FALSE)</f>
        <v>15000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6" sqref="B6"/>
    </sheetView>
  </sheetViews>
  <sheetFormatPr defaultRowHeight="15" x14ac:dyDescent="0.25"/>
  <cols>
    <col min="1" max="1" width="30.5703125" customWidth="1"/>
  </cols>
  <sheetData>
    <row r="1" spans="1:2" x14ac:dyDescent="0.25">
      <c r="A1" t="s">
        <v>605</v>
      </c>
      <c r="B1" t="s">
        <v>606</v>
      </c>
    </row>
    <row r="2" spans="1:2" x14ac:dyDescent="0.25">
      <c r="A2" t="s">
        <v>607</v>
      </c>
      <c r="B2" t="str">
        <f>TRIM(RIGHT(A2,LEN(A2)-FIND("-",A2)))</f>
        <v>Action</v>
      </c>
    </row>
    <row r="3" spans="1:2" x14ac:dyDescent="0.25">
      <c r="A3" t="s">
        <v>608</v>
      </c>
      <c r="B3" s="16" t="str">
        <f t="shared" ref="B3:B10" si="0">TRIM(RIGHT(A3,LEN(A3)-FIND("-",A3)))</f>
        <v>Sci-Fi</v>
      </c>
    </row>
    <row r="4" spans="1:2" x14ac:dyDescent="0.25">
      <c r="A4" t="s">
        <v>609</v>
      </c>
      <c r="B4" s="16" t="str">
        <f t="shared" si="0"/>
        <v>Action</v>
      </c>
    </row>
    <row r="5" spans="1:2" x14ac:dyDescent="0.25">
      <c r="A5" t="s">
        <v>610</v>
      </c>
      <c r="B5" s="16" t="str">
        <f t="shared" si="0"/>
        <v>Romance</v>
      </c>
    </row>
    <row r="6" spans="1:2" x14ac:dyDescent="0.25">
      <c r="A6" t="s">
        <v>611</v>
      </c>
      <c r="B6" s="16" t="str">
        <f t="shared" si="0"/>
        <v>Sci-Fi</v>
      </c>
    </row>
    <row r="7" spans="1:2" x14ac:dyDescent="0.25">
      <c r="A7" t="s">
        <v>612</v>
      </c>
      <c r="B7" s="16" t="str">
        <f t="shared" si="0"/>
        <v>Drama</v>
      </c>
    </row>
    <row r="8" spans="1:2" x14ac:dyDescent="0.25">
      <c r="A8" t="s">
        <v>613</v>
      </c>
      <c r="B8" s="16" t="str">
        <f t="shared" si="0"/>
        <v>Action</v>
      </c>
    </row>
    <row r="9" spans="1:2" x14ac:dyDescent="0.25">
      <c r="A9" t="s">
        <v>614</v>
      </c>
      <c r="B9" s="16" t="str">
        <f t="shared" si="0"/>
        <v>Animation</v>
      </c>
    </row>
    <row r="10" spans="1:2" x14ac:dyDescent="0.25">
      <c r="A10" t="s">
        <v>615</v>
      </c>
      <c r="B10" s="16" t="str">
        <f t="shared" si="0"/>
        <v>Action</v>
      </c>
    </row>
    <row r="11" spans="1:2" x14ac:dyDescent="0.25">
      <c r="A11" t="s">
        <v>616</v>
      </c>
      <c r="B11" t="str">
        <f>TRIM(RIGHT(A11,LEN(A11)-FIND("-",A11)))</f>
        <v>Drama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I10" sqref="I10"/>
    </sheetView>
  </sheetViews>
  <sheetFormatPr defaultRowHeight="15" x14ac:dyDescent="0.25"/>
  <sheetData>
    <row r="1" spans="1:9" x14ac:dyDescent="0.25">
      <c r="A1" t="s">
        <v>617</v>
      </c>
      <c r="B1" t="s">
        <v>623</v>
      </c>
      <c r="C1" t="s">
        <v>624</v>
      </c>
      <c r="D1" s="16" t="s">
        <v>625</v>
      </c>
      <c r="E1" s="16" t="s">
        <v>626</v>
      </c>
      <c r="F1" s="16" t="s">
        <v>627</v>
      </c>
      <c r="G1" s="16" t="s">
        <v>628</v>
      </c>
      <c r="H1" s="16" t="s">
        <v>629</v>
      </c>
      <c r="I1" t="s">
        <v>630</v>
      </c>
    </row>
    <row r="2" spans="1:9" x14ac:dyDescent="0.25">
      <c r="A2" t="s">
        <v>618</v>
      </c>
      <c r="B2">
        <v>120</v>
      </c>
      <c r="C2">
        <v>150</v>
      </c>
      <c r="D2">
        <v>130</v>
      </c>
      <c r="E2">
        <v>140</v>
      </c>
      <c r="F2">
        <v>125</v>
      </c>
      <c r="G2">
        <v>135</v>
      </c>
      <c r="H2">
        <v>145</v>
      </c>
      <c r="I2">
        <f>ROUND(_xlfn.VAR.S(B2:H2),2)</f>
        <v>116.67</v>
      </c>
    </row>
    <row r="3" spans="1:9" x14ac:dyDescent="0.25">
      <c r="A3" s="16" t="s">
        <v>619</v>
      </c>
      <c r="B3">
        <v>200</v>
      </c>
      <c r="C3">
        <v>210</v>
      </c>
      <c r="D3">
        <v>205</v>
      </c>
      <c r="E3">
        <v>220</v>
      </c>
      <c r="F3">
        <v>215</v>
      </c>
      <c r="G3">
        <v>225</v>
      </c>
      <c r="H3">
        <v>230</v>
      </c>
      <c r="I3" s="16">
        <f>ROUND(_xlfn.VAR.S(B3:H3),2)</f>
        <v>116.67</v>
      </c>
    </row>
    <row r="4" spans="1:9" x14ac:dyDescent="0.25">
      <c r="A4" s="16" t="s">
        <v>620</v>
      </c>
      <c r="B4">
        <v>90</v>
      </c>
      <c r="C4">
        <v>85</v>
      </c>
      <c r="D4">
        <v>95</v>
      </c>
      <c r="E4">
        <v>100</v>
      </c>
      <c r="F4">
        <v>110</v>
      </c>
      <c r="G4">
        <v>105</v>
      </c>
      <c r="H4">
        <v>115</v>
      </c>
      <c r="I4" s="16">
        <f>ROUND(_xlfn.VAR.S(B4:H4),2)</f>
        <v>116.67</v>
      </c>
    </row>
    <row r="5" spans="1:9" x14ac:dyDescent="0.25">
      <c r="A5" s="16" t="s">
        <v>621</v>
      </c>
      <c r="B5">
        <v>180</v>
      </c>
      <c r="C5">
        <v>190</v>
      </c>
      <c r="D5">
        <v>185</v>
      </c>
      <c r="E5">
        <v>195</v>
      </c>
      <c r="F5">
        <v>200</v>
      </c>
      <c r="G5">
        <v>195</v>
      </c>
      <c r="H5">
        <v>205</v>
      </c>
      <c r="I5" s="16">
        <f t="shared" ref="I5:I6" si="0">ROUND(_xlfn.VAR.S(B5:H5),2)</f>
        <v>73.81</v>
      </c>
    </row>
    <row r="6" spans="1:9" x14ac:dyDescent="0.25">
      <c r="A6" s="16" t="s">
        <v>622</v>
      </c>
      <c r="B6">
        <v>160</v>
      </c>
      <c r="C6">
        <v>170</v>
      </c>
      <c r="D6">
        <v>165</v>
      </c>
      <c r="E6">
        <v>175</v>
      </c>
      <c r="F6">
        <v>180</v>
      </c>
      <c r="G6">
        <v>175</v>
      </c>
      <c r="H6">
        <v>185</v>
      </c>
      <c r="I6" s="16">
        <f t="shared" si="0"/>
        <v>73.81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6" sqref="B16"/>
    </sheetView>
  </sheetViews>
  <sheetFormatPr defaultRowHeight="15" x14ac:dyDescent="0.25"/>
  <sheetData>
    <row r="1" spans="1:2" x14ac:dyDescent="0.25">
      <c r="A1" t="s">
        <v>631</v>
      </c>
      <c r="B1" t="s">
        <v>632</v>
      </c>
    </row>
    <row r="2" spans="1:2" x14ac:dyDescent="0.25">
      <c r="A2" t="s">
        <v>633</v>
      </c>
      <c r="B2">
        <v>150</v>
      </c>
    </row>
    <row r="3" spans="1:2" x14ac:dyDescent="0.25">
      <c r="A3" t="s">
        <v>634</v>
      </c>
      <c r="B3">
        <v>220</v>
      </c>
    </row>
    <row r="4" spans="1:2" x14ac:dyDescent="0.25">
      <c r="A4" t="s">
        <v>635</v>
      </c>
      <c r="B4">
        <v>100</v>
      </c>
    </row>
    <row r="5" spans="1:2" x14ac:dyDescent="0.25">
      <c r="A5" t="s">
        <v>636</v>
      </c>
      <c r="B5">
        <v>110</v>
      </c>
    </row>
    <row r="6" spans="1:2" x14ac:dyDescent="0.25">
      <c r="A6" t="s">
        <v>637</v>
      </c>
      <c r="B6">
        <v>120</v>
      </c>
    </row>
    <row r="7" spans="1:2" x14ac:dyDescent="0.25">
      <c r="A7" t="s">
        <v>638</v>
      </c>
      <c r="B7">
        <v>130</v>
      </c>
    </row>
    <row r="8" spans="1:2" x14ac:dyDescent="0.25">
      <c r="A8" t="s">
        <v>639</v>
      </c>
      <c r="B8">
        <v>145</v>
      </c>
    </row>
    <row r="9" spans="1:2" x14ac:dyDescent="0.25">
      <c r="A9" t="s">
        <v>640</v>
      </c>
      <c r="B9">
        <v>110</v>
      </c>
    </row>
    <row r="10" spans="1:2" x14ac:dyDescent="0.25">
      <c r="A10" t="s">
        <v>641</v>
      </c>
      <c r="B10">
        <v>90</v>
      </c>
    </row>
    <row r="11" spans="1:2" x14ac:dyDescent="0.25">
      <c r="A11" t="s">
        <v>642</v>
      </c>
      <c r="B11">
        <v>76</v>
      </c>
    </row>
    <row r="12" spans="1:2" x14ac:dyDescent="0.25">
      <c r="A12" t="s">
        <v>643</v>
      </c>
      <c r="B12">
        <v>110</v>
      </c>
    </row>
    <row r="13" spans="1:2" x14ac:dyDescent="0.25">
      <c r="A13" t="s">
        <v>644</v>
      </c>
      <c r="B13">
        <v>131</v>
      </c>
    </row>
    <row r="14" spans="1:2" x14ac:dyDescent="0.25">
      <c r="A14" t="s">
        <v>645</v>
      </c>
      <c r="B14">
        <v>100</v>
      </c>
    </row>
    <row r="16" spans="1:2" x14ac:dyDescent="0.25">
      <c r="A16" t="s">
        <v>51</v>
      </c>
      <c r="B16">
        <f>AVERAGE(B2:B14)</f>
        <v>122.46153846153847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B28" sqref="B28"/>
    </sheetView>
  </sheetViews>
  <sheetFormatPr defaultRowHeight="15" x14ac:dyDescent="0.25"/>
  <cols>
    <col min="3" max="4" width="10.42578125" bestFit="1" customWidth="1"/>
  </cols>
  <sheetData>
    <row r="1" spans="1:5" x14ac:dyDescent="0.25">
      <c r="A1" t="s">
        <v>358</v>
      </c>
      <c r="B1" t="s">
        <v>200</v>
      </c>
      <c r="C1" t="s">
        <v>646</v>
      </c>
      <c r="D1" t="s">
        <v>587</v>
      </c>
      <c r="E1" t="s">
        <v>647</v>
      </c>
    </row>
    <row r="2" spans="1:5" x14ac:dyDescent="0.25">
      <c r="A2" t="s">
        <v>648</v>
      </c>
      <c r="B2" t="s">
        <v>653</v>
      </c>
      <c r="C2">
        <v>1299</v>
      </c>
      <c r="D2">
        <f>VLOOKUP(A2,A11:D16,2,FALSE)</f>
        <v>17</v>
      </c>
      <c r="E2">
        <f>C2-D2/100*C2</f>
        <v>1078.17</v>
      </c>
    </row>
    <row r="3" spans="1:5" x14ac:dyDescent="0.25">
      <c r="A3" s="16" t="s">
        <v>649</v>
      </c>
      <c r="B3" t="s">
        <v>654</v>
      </c>
      <c r="C3">
        <v>1850</v>
      </c>
      <c r="D3" s="16">
        <f t="shared" ref="D3:D6" si="0">VLOOKUP(A3,A12:D17,2,FALSE)</f>
        <v>18</v>
      </c>
      <c r="E3" s="16">
        <f t="shared" ref="E3:E6" si="1">C3-D3/100*C3</f>
        <v>1517</v>
      </c>
    </row>
    <row r="4" spans="1:5" x14ac:dyDescent="0.25">
      <c r="A4" s="16" t="s">
        <v>650</v>
      </c>
      <c r="B4" t="s">
        <v>655</v>
      </c>
      <c r="C4">
        <v>3499</v>
      </c>
      <c r="D4" s="16">
        <f t="shared" si="0"/>
        <v>20</v>
      </c>
      <c r="E4" s="16">
        <f t="shared" si="1"/>
        <v>2799.2</v>
      </c>
    </row>
    <row r="5" spans="1:5" x14ac:dyDescent="0.25">
      <c r="A5" s="16" t="s">
        <v>651</v>
      </c>
      <c r="B5" t="s">
        <v>656</v>
      </c>
      <c r="C5">
        <v>899</v>
      </c>
      <c r="D5" s="16">
        <f t="shared" si="0"/>
        <v>15</v>
      </c>
      <c r="E5" s="16">
        <f t="shared" si="1"/>
        <v>764.15</v>
      </c>
    </row>
    <row r="6" spans="1:5" x14ac:dyDescent="0.25">
      <c r="A6" s="16" t="s">
        <v>652</v>
      </c>
      <c r="B6" t="s">
        <v>657</v>
      </c>
      <c r="C6">
        <v>549</v>
      </c>
      <c r="D6" s="16">
        <f t="shared" si="0"/>
        <v>20</v>
      </c>
      <c r="E6" s="16">
        <f t="shared" si="1"/>
        <v>439.2</v>
      </c>
    </row>
    <row r="11" spans="1:5" x14ac:dyDescent="0.25">
      <c r="A11" s="16" t="s">
        <v>358</v>
      </c>
      <c r="B11" t="s">
        <v>587</v>
      </c>
      <c r="C11" t="s">
        <v>658</v>
      </c>
      <c r="D11" t="s">
        <v>659</v>
      </c>
    </row>
    <row r="12" spans="1:5" x14ac:dyDescent="0.25">
      <c r="A12" s="16" t="s">
        <v>648</v>
      </c>
      <c r="B12">
        <v>17</v>
      </c>
      <c r="C12" s="24">
        <v>45419</v>
      </c>
      <c r="D12" s="24">
        <v>45572</v>
      </c>
    </row>
    <row r="13" spans="1:5" x14ac:dyDescent="0.25">
      <c r="A13" s="16" t="s">
        <v>649</v>
      </c>
      <c r="B13">
        <v>18</v>
      </c>
      <c r="C13" s="24">
        <v>45419</v>
      </c>
      <c r="D13" s="24">
        <v>45572</v>
      </c>
    </row>
    <row r="14" spans="1:5" x14ac:dyDescent="0.25">
      <c r="A14" s="16" t="s">
        <v>650</v>
      </c>
      <c r="B14">
        <v>20</v>
      </c>
      <c r="C14" s="24">
        <v>45419</v>
      </c>
      <c r="D14" s="24">
        <v>45572</v>
      </c>
    </row>
    <row r="15" spans="1:5" x14ac:dyDescent="0.25">
      <c r="A15" s="16" t="s">
        <v>651</v>
      </c>
      <c r="B15">
        <v>15</v>
      </c>
      <c r="C15" s="24">
        <v>45480</v>
      </c>
      <c r="D15" s="24">
        <v>45633</v>
      </c>
    </row>
    <row r="16" spans="1:5" x14ac:dyDescent="0.25">
      <c r="A16" s="16" t="s">
        <v>652</v>
      </c>
      <c r="B16">
        <v>20</v>
      </c>
      <c r="C16" s="24">
        <v>45480</v>
      </c>
      <c r="D16" s="24">
        <v>45633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C3" sqref="C3"/>
    </sheetView>
  </sheetViews>
  <sheetFormatPr defaultRowHeight="15" x14ac:dyDescent="0.25"/>
  <sheetData>
    <row r="1" spans="1:3" x14ac:dyDescent="0.25">
      <c r="A1" t="s">
        <v>74</v>
      </c>
      <c r="B1" t="s">
        <v>660</v>
      </c>
      <c r="C1" t="s">
        <v>661</v>
      </c>
    </row>
    <row r="2" spans="1:3" x14ac:dyDescent="0.25">
      <c r="A2" t="s">
        <v>78</v>
      </c>
      <c r="B2" s="31">
        <v>0.4375</v>
      </c>
      <c r="C2">
        <f>HOUR(B2)</f>
        <v>10</v>
      </c>
    </row>
    <row r="3" spans="1:3" x14ac:dyDescent="0.25">
      <c r="A3" t="s">
        <v>79</v>
      </c>
      <c r="B3" s="31">
        <v>0.53125</v>
      </c>
      <c r="C3" s="16">
        <f t="shared" ref="C3:C6" si="0">HOUR(B3)</f>
        <v>12</v>
      </c>
    </row>
    <row r="4" spans="1:3" x14ac:dyDescent="0.25">
      <c r="A4" t="s">
        <v>80</v>
      </c>
      <c r="B4" s="31">
        <v>0.59375</v>
      </c>
      <c r="C4" s="16">
        <f t="shared" si="0"/>
        <v>14</v>
      </c>
    </row>
    <row r="5" spans="1:3" x14ac:dyDescent="0.25">
      <c r="A5" t="s">
        <v>81</v>
      </c>
      <c r="B5" s="31">
        <v>0.66666666666666663</v>
      </c>
      <c r="C5" s="16">
        <f t="shared" si="0"/>
        <v>16</v>
      </c>
    </row>
    <row r="6" spans="1:3" x14ac:dyDescent="0.25">
      <c r="A6" t="s">
        <v>82</v>
      </c>
      <c r="B6" s="31">
        <v>0.77083333333333337</v>
      </c>
      <c r="C6" s="16">
        <f t="shared" si="0"/>
        <v>18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D9" sqref="D9"/>
    </sheetView>
  </sheetViews>
  <sheetFormatPr defaultRowHeight="15" x14ac:dyDescent="0.25"/>
  <cols>
    <col min="2" max="2" width="15.7109375" customWidth="1"/>
  </cols>
  <sheetData>
    <row r="1" spans="1:4" x14ac:dyDescent="0.25">
      <c r="A1" t="s">
        <v>149</v>
      </c>
      <c r="B1" t="s">
        <v>662</v>
      </c>
      <c r="C1" t="s">
        <v>663</v>
      </c>
      <c r="D1" t="s">
        <v>664</v>
      </c>
    </row>
    <row r="2" spans="1:4" x14ac:dyDescent="0.25">
      <c r="A2" t="s">
        <v>266</v>
      </c>
      <c r="B2" t="s">
        <v>189</v>
      </c>
      <c r="C2">
        <v>5000</v>
      </c>
      <c r="D2" t="b">
        <f>IF(AND(B2&lt;&gt;0,C2&lt;&gt;0),TRUE,FALSE)</f>
        <v>1</v>
      </c>
    </row>
    <row r="3" spans="1:4" x14ac:dyDescent="0.25">
      <c r="B3" t="s">
        <v>665</v>
      </c>
      <c r="C3">
        <v>15000</v>
      </c>
      <c r="D3" s="16" t="b">
        <f t="shared" ref="D3:D11" si="0">IF(AND(B3&lt;&gt;0,C3&lt;&gt;0),TRUE,FALSE)</f>
        <v>1</v>
      </c>
    </row>
    <row r="4" spans="1:4" x14ac:dyDescent="0.25">
      <c r="A4" t="s">
        <v>268</v>
      </c>
      <c r="B4" t="s">
        <v>666</v>
      </c>
      <c r="D4" s="16" t="b">
        <f t="shared" si="0"/>
        <v>0</v>
      </c>
    </row>
    <row r="5" spans="1:4" x14ac:dyDescent="0.25">
      <c r="A5" s="16" t="s">
        <v>269</v>
      </c>
      <c r="B5" t="s">
        <v>55</v>
      </c>
      <c r="C5">
        <v>12000</v>
      </c>
      <c r="D5" s="16" t="b">
        <f t="shared" si="0"/>
        <v>1</v>
      </c>
    </row>
    <row r="6" spans="1:4" x14ac:dyDescent="0.25">
      <c r="A6" s="16" t="s">
        <v>270</v>
      </c>
      <c r="B6" t="s">
        <v>667</v>
      </c>
      <c r="C6">
        <v>3000</v>
      </c>
      <c r="D6" s="16" t="b">
        <f t="shared" si="0"/>
        <v>1</v>
      </c>
    </row>
    <row r="7" spans="1:4" x14ac:dyDescent="0.25">
      <c r="A7" s="16" t="s">
        <v>271</v>
      </c>
      <c r="B7" t="s">
        <v>668</v>
      </c>
      <c r="C7">
        <v>20000</v>
      </c>
      <c r="D7" s="16" t="b">
        <f t="shared" si="0"/>
        <v>1</v>
      </c>
    </row>
    <row r="8" spans="1:4" x14ac:dyDescent="0.25">
      <c r="A8" s="16" t="s">
        <v>272</v>
      </c>
      <c r="B8" t="s">
        <v>669</v>
      </c>
      <c r="C8">
        <v>10000</v>
      </c>
      <c r="D8" s="16" t="b">
        <f t="shared" si="0"/>
        <v>1</v>
      </c>
    </row>
    <row r="9" spans="1:4" x14ac:dyDescent="0.25">
      <c r="A9" s="16" t="s">
        <v>273</v>
      </c>
      <c r="B9" t="s">
        <v>670</v>
      </c>
      <c r="D9" s="16" t="b">
        <f t="shared" si="0"/>
        <v>0</v>
      </c>
    </row>
    <row r="10" spans="1:4" x14ac:dyDescent="0.25">
      <c r="B10" s="16" t="s">
        <v>195</v>
      </c>
      <c r="C10">
        <v>2500</v>
      </c>
      <c r="D10" s="16" t="b">
        <f t="shared" si="0"/>
        <v>1</v>
      </c>
    </row>
    <row r="11" spans="1:4" x14ac:dyDescent="0.25">
      <c r="A11" t="s">
        <v>275</v>
      </c>
      <c r="B11" t="s">
        <v>198</v>
      </c>
      <c r="C11">
        <v>18000</v>
      </c>
      <c r="D11" s="16" t="b">
        <f t="shared" si="0"/>
        <v>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B11" sqref="B11"/>
    </sheetView>
  </sheetViews>
  <sheetFormatPr defaultRowHeight="15" x14ac:dyDescent="0.25"/>
  <cols>
    <col min="1" max="1" width="17.85546875" customWidth="1"/>
    <col min="2" max="2" width="18.28515625" customWidth="1"/>
  </cols>
  <sheetData>
    <row r="1" spans="1:3" x14ac:dyDescent="0.25">
      <c r="A1" t="s">
        <v>671</v>
      </c>
      <c r="B1" t="s">
        <v>672</v>
      </c>
      <c r="C1" t="s">
        <v>673</v>
      </c>
    </row>
    <row r="2" spans="1:3" x14ac:dyDescent="0.25">
      <c r="A2" t="s">
        <v>674</v>
      </c>
      <c r="B2" t="s">
        <v>684</v>
      </c>
      <c r="C2">
        <v>1500</v>
      </c>
    </row>
    <row r="3" spans="1:3" x14ac:dyDescent="0.25">
      <c r="A3" s="16" t="s">
        <v>675</v>
      </c>
      <c r="B3" t="s">
        <v>37</v>
      </c>
      <c r="C3">
        <v>2500</v>
      </c>
    </row>
    <row r="4" spans="1:3" x14ac:dyDescent="0.25">
      <c r="A4" s="16" t="s">
        <v>676</v>
      </c>
      <c r="B4" t="s">
        <v>522</v>
      </c>
      <c r="C4">
        <v>1800</v>
      </c>
    </row>
    <row r="5" spans="1:3" x14ac:dyDescent="0.25">
      <c r="A5" s="16" t="s">
        <v>677</v>
      </c>
      <c r="B5" t="s">
        <v>684</v>
      </c>
      <c r="C5">
        <v>1200</v>
      </c>
    </row>
    <row r="6" spans="1:3" x14ac:dyDescent="0.25">
      <c r="A6" s="16" t="s">
        <v>678</v>
      </c>
      <c r="B6" t="s">
        <v>37</v>
      </c>
      <c r="C6">
        <v>3000</v>
      </c>
    </row>
    <row r="7" spans="1:3" x14ac:dyDescent="0.25">
      <c r="A7" s="16" t="s">
        <v>679</v>
      </c>
      <c r="B7" t="s">
        <v>522</v>
      </c>
      <c r="C7">
        <v>1000</v>
      </c>
    </row>
    <row r="8" spans="1:3" x14ac:dyDescent="0.25">
      <c r="A8" s="16" t="s">
        <v>680</v>
      </c>
      <c r="B8" t="s">
        <v>684</v>
      </c>
      <c r="C8">
        <v>2000</v>
      </c>
    </row>
    <row r="9" spans="1:3" x14ac:dyDescent="0.25">
      <c r="A9" s="16" t="s">
        <v>681</v>
      </c>
      <c r="B9" t="s">
        <v>37</v>
      </c>
      <c r="C9">
        <v>1500</v>
      </c>
    </row>
    <row r="10" spans="1:3" x14ac:dyDescent="0.25">
      <c r="A10" s="16" t="s">
        <v>682</v>
      </c>
      <c r="B10" t="s">
        <v>522</v>
      </c>
      <c r="C10">
        <v>2000</v>
      </c>
    </row>
    <row r="11" spans="1:3" x14ac:dyDescent="0.25">
      <c r="A11" s="16" t="s">
        <v>683</v>
      </c>
      <c r="B11" t="s">
        <v>684</v>
      </c>
      <c r="C11">
        <v>1800</v>
      </c>
    </row>
    <row r="13" spans="1:3" x14ac:dyDescent="0.25">
      <c r="A13" t="s">
        <v>685</v>
      </c>
      <c r="B13" t="s">
        <v>686</v>
      </c>
    </row>
    <row r="14" spans="1:3" x14ac:dyDescent="0.25">
      <c r="A14" t="s">
        <v>684</v>
      </c>
      <c r="B14">
        <f t="array" ref="B14">MIN(IF($B$2:$B$11="Clothing", $C$2:$C$11))</f>
        <v>1200</v>
      </c>
    </row>
    <row r="15" spans="1:3" x14ac:dyDescent="0.25">
      <c r="A15" t="s">
        <v>37</v>
      </c>
      <c r="B15" s="16">
        <f t="array" ref="B15">MIN(IF($B$2:$B$11="Electronics", $C$2:$C$11))</f>
        <v>1500</v>
      </c>
    </row>
    <row r="16" spans="1:3" x14ac:dyDescent="0.25">
      <c r="A16" t="s">
        <v>522</v>
      </c>
      <c r="B16" s="16">
        <f t="array" ref="B16">MIN(IF($B$2:$B$11="Home Décor", $C$2:$C$11))</f>
        <v>1000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C6" sqref="C6"/>
    </sheetView>
  </sheetViews>
  <sheetFormatPr defaultRowHeight="15" x14ac:dyDescent="0.25"/>
  <cols>
    <col min="2" max="2" width="20.5703125" customWidth="1"/>
  </cols>
  <sheetData>
    <row r="1" spans="1:3" x14ac:dyDescent="0.25">
      <c r="A1" t="s">
        <v>687</v>
      </c>
      <c r="B1" t="s">
        <v>688</v>
      </c>
      <c r="C1" t="s">
        <v>689</v>
      </c>
    </row>
    <row r="2" spans="1:3" x14ac:dyDescent="0.25">
      <c r="A2">
        <v>1</v>
      </c>
      <c r="B2" t="s">
        <v>690</v>
      </c>
      <c r="C2" t="str">
        <f>SUBSTITUTE(B2,"OLD","NEW")</f>
        <v>IN-NEW-DELHI-2023</v>
      </c>
    </row>
    <row r="3" spans="1:3" x14ac:dyDescent="0.25">
      <c r="A3" s="16">
        <v>2</v>
      </c>
      <c r="B3" t="s">
        <v>691</v>
      </c>
      <c r="C3" s="16" t="str">
        <f t="shared" ref="C3:C6" si="0">SUBSTITUTE(B3,"OLD","NEW")</f>
        <v>IN-NEW-GOA-2023</v>
      </c>
    </row>
    <row r="4" spans="1:3" x14ac:dyDescent="0.25">
      <c r="A4" s="16">
        <v>3</v>
      </c>
      <c r="B4" t="s">
        <v>692</v>
      </c>
      <c r="C4" s="16" t="str">
        <f t="shared" si="0"/>
        <v>IN-NEW-MUMBAI-2023</v>
      </c>
    </row>
    <row r="5" spans="1:3" x14ac:dyDescent="0.25">
      <c r="A5" s="16">
        <v>4</v>
      </c>
      <c r="B5" t="s">
        <v>693</v>
      </c>
      <c r="C5" s="16" t="str">
        <f t="shared" si="0"/>
        <v>IN-NEW-KERALA-2023</v>
      </c>
    </row>
    <row r="6" spans="1:3" x14ac:dyDescent="0.25">
      <c r="A6" s="16">
        <v>5</v>
      </c>
      <c r="B6" t="s">
        <v>694</v>
      </c>
      <c r="C6" s="16" t="str">
        <f t="shared" si="0"/>
        <v>IN-NEW-AGRA-2023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E5" sqref="E5"/>
    </sheetView>
  </sheetViews>
  <sheetFormatPr defaultRowHeight="15" x14ac:dyDescent="0.25"/>
  <sheetData>
    <row r="1" spans="1:5" x14ac:dyDescent="0.25">
      <c r="A1" t="s">
        <v>695</v>
      </c>
      <c r="B1" t="s">
        <v>74</v>
      </c>
      <c r="C1" t="s">
        <v>696</v>
      </c>
      <c r="D1" t="s">
        <v>698</v>
      </c>
      <c r="E1" t="s">
        <v>697</v>
      </c>
    </row>
    <row r="2" spans="1:5" x14ac:dyDescent="0.25">
      <c r="A2" t="s">
        <v>158</v>
      </c>
      <c r="B2" t="s">
        <v>189</v>
      </c>
      <c r="C2">
        <v>45</v>
      </c>
      <c r="D2">
        <v>8500</v>
      </c>
      <c r="E2" t="str">
        <f>IF(AND(C2&gt;=50,D2&gt;=10000),"Yes","No")</f>
        <v>No</v>
      </c>
    </row>
    <row r="3" spans="1:5" x14ac:dyDescent="0.25">
      <c r="A3" s="16" t="s">
        <v>159</v>
      </c>
      <c r="B3" t="s">
        <v>190</v>
      </c>
      <c r="C3">
        <v>55</v>
      </c>
      <c r="D3">
        <v>11200</v>
      </c>
      <c r="E3" s="16" t="str">
        <f t="shared" ref="E3:E11" si="0">IF(AND(C3&gt;=50,D3&gt;=10000),"Yes","No")</f>
        <v>Yes</v>
      </c>
    </row>
    <row r="4" spans="1:5" x14ac:dyDescent="0.25">
      <c r="A4" s="16" t="s">
        <v>160</v>
      </c>
      <c r="B4" t="s">
        <v>191</v>
      </c>
      <c r="C4">
        <v>30</v>
      </c>
      <c r="D4">
        <v>6000</v>
      </c>
      <c r="E4" s="16" t="str">
        <f t="shared" si="0"/>
        <v>No</v>
      </c>
    </row>
    <row r="5" spans="1:5" x14ac:dyDescent="0.25">
      <c r="A5" s="16" t="s">
        <v>161</v>
      </c>
      <c r="B5" t="s">
        <v>699</v>
      </c>
      <c r="C5">
        <v>60</v>
      </c>
      <c r="D5">
        <v>12500</v>
      </c>
      <c r="E5" s="16" t="str">
        <f t="shared" si="0"/>
        <v>Yes</v>
      </c>
    </row>
    <row r="6" spans="1:5" x14ac:dyDescent="0.25">
      <c r="A6" s="16" t="s">
        <v>162</v>
      </c>
      <c r="B6" t="s">
        <v>193</v>
      </c>
      <c r="C6">
        <v>25</v>
      </c>
      <c r="D6">
        <v>9800</v>
      </c>
      <c r="E6" s="16" t="str">
        <f t="shared" si="0"/>
        <v>No</v>
      </c>
    </row>
    <row r="7" spans="1:5" x14ac:dyDescent="0.25">
      <c r="A7" s="16" t="s">
        <v>163</v>
      </c>
      <c r="B7" t="s">
        <v>194</v>
      </c>
      <c r="C7">
        <v>70</v>
      </c>
      <c r="D7">
        <v>15000</v>
      </c>
      <c r="E7" s="16" t="str">
        <f t="shared" si="0"/>
        <v>Yes</v>
      </c>
    </row>
    <row r="8" spans="1:5" x14ac:dyDescent="0.25">
      <c r="A8" s="16" t="s">
        <v>164</v>
      </c>
      <c r="B8" t="s">
        <v>195</v>
      </c>
      <c r="C8">
        <v>40</v>
      </c>
      <c r="D8">
        <v>7500</v>
      </c>
      <c r="E8" s="16" t="str">
        <f t="shared" si="0"/>
        <v>No</v>
      </c>
    </row>
    <row r="9" spans="1:5" x14ac:dyDescent="0.25">
      <c r="A9" s="16" t="s">
        <v>165</v>
      </c>
      <c r="B9" t="s">
        <v>196</v>
      </c>
      <c r="C9">
        <v>20</v>
      </c>
      <c r="D9">
        <v>4500</v>
      </c>
      <c r="E9" s="16" t="str">
        <f t="shared" si="0"/>
        <v>No</v>
      </c>
    </row>
    <row r="10" spans="1:5" x14ac:dyDescent="0.25">
      <c r="A10" s="16" t="s">
        <v>166</v>
      </c>
      <c r="B10" t="s">
        <v>197</v>
      </c>
      <c r="C10">
        <v>65</v>
      </c>
      <c r="D10">
        <v>13000</v>
      </c>
      <c r="E10" s="16" t="str">
        <f t="shared" si="0"/>
        <v>Yes</v>
      </c>
    </row>
    <row r="11" spans="1:5" x14ac:dyDescent="0.25">
      <c r="A11" s="16" t="s">
        <v>167</v>
      </c>
      <c r="B11" t="s">
        <v>198</v>
      </c>
      <c r="C11">
        <v>55</v>
      </c>
      <c r="D11">
        <v>10500</v>
      </c>
      <c r="E11" s="16" t="str">
        <f t="shared" si="0"/>
        <v>Yes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B4" sqref="B4"/>
    </sheetView>
  </sheetViews>
  <sheetFormatPr defaultRowHeight="15" x14ac:dyDescent="0.25"/>
  <cols>
    <col min="1" max="1" width="14.5703125" customWidth="1"/>
    <col min="2" max="2" width="17.7109375" customWidth="1"/>
  </cols>
  <sheetData>
    <row r="1" spans="1:3" x14ac:dyDescent="0.25">
      <c r="A1" t="s">
        <v>700</v>
      </c>
      <c r="B1" t="s">
        <v>701</v>
      </c>
      <c r="C1" t="s">
        <v>702</v>
      </c>
    </row>
    <row r="2" spans="1:3" x14ac:dyDescent="0.25">
      <c r="A2" t="s">
        <v>703</v>
      </c>
      <c r="B2" t="str">
        <f>TRIM(LEFT(A2,LEN(A2)-FIND("-",A2)))</f>
        <v>1234</v>
      </c>
      <c r="C2" t="str">
        <f>TRIM(RIGHT(A2,LEN(A2)-FIND("-",A2)))</f>
        <v>Milk</v>
      </c>
    </row>
    <row r="3" spans="1:3" x14ac:dyDescent="0.25">
      <c r="A3" t="s">
        <v>704</v>
      </c>
      <c r="B3" s="16" t="str">
        <f t="shared" ref="B3:B8" si="0">TRIM(LEFT(A3,LEN(A3)-FIND("-",A3)))</f>
        <v>67890</v>
      </c>
      <c r="C3" s="16" t="str">
        <f t="shared" ref="C3:C9" si="1">TRIM(RIGHT(A3,LEN(A3)-FIND("-",A3)))</f>
        <v>Bread</v>
      </c>
    </row>
    <row r="4" spans="1:3" x14ac:dyDescent="0.25">
      <c r="A4" t="s">
        <v>705</v>
      </c>
      <c r="B4" s="16" t="str">
        <f t="shared" si="0"/>
        <v>1122</v>
      </c>
      <c r="C4" s="16" t="str">
        <f t="shared" si="1"/>
        <v>Eggs</v>
      </c>
    </row>
    <row r="5" spans="1:3" x14ac:dyDescent="0.25">
      <c r="A5" t="s">
        <v>706</v>
      </c>
      <c r="B5" s="16" t="str">
        <f>TRIM(LEFT(A5,LEN(A5)-FIND("-",A5)))</f>
        <v>33445-</v>
      </c>
      <c r="C5" s="16" t="str">
        <f t="shared" si="1"/>
        <v>Cheese</v>
      </c>
    </row>
    <row r="6" spans="1:3" x14ac:dyDescent="0.25">
      <c r="A6" t="s">
        <v>707</v>
      </c>
      <c r="B6" s="16" t="str">
        <f>TRIM(LEFT(A6,LEN(A6)-FIND("-",A6)))</f>
        <v>55667-Vege</v>
      </c>
      <c r="C6" s="16" t="str">
        <f t="shared" si="1"/>
        <v>Vegetables</v>
      </c>
    </row>
    <row r="7" spans="1:3" x14ac:dyDescent="0.25">
      <c r="A7" t="s">
        <v>708</v>
      </c>
      <c r="B7" s="16" t="str">
        <f t="shared" si="0"/>
        <v>77889-</v>
      </c>
      <c r="C7" s="16" t="str">
        <f t="shared" si="1"/>
        <v>Fruits</v>
      </c>
    </row>
    <row r="8" spans="1:3" x14ac:dyDescent="0.25">
      <c r="A8" t="s">
        <v>709</v>
      </c>
      <c r="B8" s="16" t="str">
        <f t="shared" si="0"/>
        <v>9900</v>
      </c>
      <c r="C8" s="16" t="str">
        <f t="shared" si="1"/>
        <v>Meat</v>
      </c>
    </row>
    <row r="9" spans="1:3" x14ac:dyDescent="0.25">
      <c r="A9" t="s">
        <v>710</v>
      </c>
      <c r="B9" s="16" t="str">
        <f>TRIM(LEFT(A9,LEN(A9)-FIND("-",A9)))</f>
        <v>2233</v>
      </c>
      <c r="C9" s="16" t="str">
        <f t="shared" si="1"/>
        <v>Fish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A21" sqref="A21"/>
    </sheetView>
  </sheetViews>
  <sheetFormatPr defaultRowHeight="15" x14ac:dyDescent="0.25"/>
  <cols>
    <col min="3" max="3" width="10.85546875" customWidth="1"/>
  </cols>
  <sheetData>
    <row r="1" spans="1:11" x14ac:dyDescent="0.25">
      <c r="A1" t="s">
        <v>358</v>
      </c>
      <c r="B1" t="s">
        <v>200</v>
      </c>
      <c r="C1" t="s">
        <v>601</v>
      </c>
      <c r="F1" s="16" t="s">
        <v>358</v>
      </c>
      <c r="G1" s="16" t="s">
        <v>200</v>
      </c>
      <c r="H1" t="s">
        <v>728</v>
      </c>
    </row>
    <row r="2" spans="1:11" x14ac:dyDescent="0.25">
      <c r="A2" t="s">
        <v>41</v>
      </c>
      <c r="B2" t="s">
        <v>723</v>
      </c>
      <c r="C2">
        <v>2000</v>
      </c>
      <c r="F2" s="16" t="s">
        <v>41</v>
      </c>
      <c r="G2" s="16" t="s">
        <v>723</v>
      </c>
      <c r="H2">
        <v>500</v>
      </c>
    </row>
    <row r="3" spans="1:11" x14ac:dyDescent="0.25">
      <c r="A3" s="16" t="s">
        <v>42</v>
      </c>
      <c r="B3" t="s">
        <v>724</v>
      </c>
      <c r="C3">
        <v>1500</v>
      </c>
      <c r="F3" s="16" t="s">
        <v>42</v>
      </c>
      <c r="G3" s="16" t="s">
        <v>724</v>
      </c>
      <c r="H3">
        <v>400</v>
      </c>
    </row>
    <row r="4" spans="1:11" x14ac:dyDescent="0.25">
      <c r="A4" s="16" t="s">
        <v>43</v>
      </c>
      <c r="B4" t="s">
        <v>725</v>
      </c>
      <c r="C4">
        <v>1800</v>
      </c>
      <c r="F4" s="16" t="s">
        <v>43</v>
      </c>
      <c r="G4" s="16" t="s">
        <v>725</v>
      </c>
      <c r="H4">
        <v>300</v>
      </c>
    </row>
    <row r="5" spans="1:11" x14ac:dyDescent="0.25">
      <c r="A5" s="16" t="s">
        <v>44</v>
      </c>
      <c r="B5" t="s">
        <v>726</v>
      </c>
      <c r="C5">
        <v>2200</v>
      </c>
      <c r="F5" s="16" t="s">
        <v>44</v>
      </c>
      <c r="G5" s="16" t="s">
        <v>726</v>
      </c>
      <c r="H5">
        <v>450</v>
      </c>
    </row>
    <row r="6" spans="1:11" x14ac:dyDescent="0.25">
      <c r="A6" s="16" t="s">
        <v>45</v>
      </c>
      <c r="B6" t="s">
        <v>727</v>
      </c>
      <c r="C6">
        <v>1700</v>
      </c>
      <c r="F6" s="16" t="s">
        <v>45</v>
      </c>
      <c r="G6" s="16" t="s">
        <v>727</v>
      </c>
      <c r="H6">
        <v>350</v>
      </c>
    </row>
    <row r="8" spans="1:11" x14ac:dyDescent="0.25">
      <c r="A8" t="s">
        <v>254</v>
      </c>
      <c r="B8" s="16" t="s">
        <v>41</v>
      </c>
      <c r="C8" s="16" t="s">
        <v>42</v>
      </c>
      <c r="D8" s="16" t="s">
        <v>43</v>
      </c>
      <c r="E8" s="16" t="s">
        <v>44</v>
      </c>
      <c r="F8" s="16" t="s">
        <v>45</v>
      </c>
      <c r="K8">
        <v>150</v>
      </c>
    </row>
    <row r="9" spans="1:11" x14ac:dyDescent="0.25">
      <c r="A9" t="s">
        <v>168</v>
      </c>
      <c r="B9" s="16">
        <v>150</v>
      </c>
      <c r="C9" s="16">
        <v>120</v>
      </c>
      <c r="D9" s="16">
        <v>90</v>
      </c>
      <c r="E9" s="16">
        <v>110</v>
      </c>
      <c r="F9" s="16">
        <v>100</v>
      </c>
      <c r="K9">
        <v>130</v>
      </c>
    </row>
    <row r="10" spans="1:11" x14ac:dyDescent="0.25">
      <c r="A10" s="16" t="s">
        <v>169</v>
      </c>
      <c r="B10" s="16">
        <v>130</v>
      </c>
      <c r="C10" s="16">
        <v>100</v>
      </c>
      <c r="D10" s="16">
        <v>85</v>
      </c>
      <c r="E10" s="16">
        <v>105</v>
      </c>
      <c r="F10" s="16">
        <v>95</v>
      </c>
      <c r="K10">
        <v>140</v>
      </c>
    </row>
    <row r="11" spans="1:11" x14ac:dyDescent="0.25">
      <c r="A11" s="16" t="s">
        <v>170</v>
      </c>
      <c r="B11" s="16">
        <v>140</v>
      </c>
      <c r="C11" s="16">
        <v>110</v>
      </c>
      <c r="D11" s="16">
        <v>100</v>
      </c>
      <c r="E11" s="16">
        <v>120</v>
      </c>
      <c r="F11" s="16">
        <v>105</v>
      </c>
      <c r="K11">
        <v>145</v>
      </c>
    </row>
    <row r="12" spans="1:11" x14ac:dyDescent="0.25">
      <c r="A12" s="16" t="s">
        <v>171</v>
      </c>
      <c r="B12" s="16">
        <v>145</v>
      </c>
      <c r="C12" s="16">
        <v>105</v>
      </c>
      <c r="D12" s="16">
        <v>95</v>
      </c>
      <c r="E12" s="16">
        <v>115</v>
      </c>
      <c r="F12" s="16">
        <v>90</v>
      </c>
      <c r="K12">
        <v>150</v>
      </c>
    </row>
    <row r="13" spans="1:11" x14ac:dyDescent="0.25">
      <c r="A13" s="16" t="s">
        <v>172</v>
      </c>
      <c r="B13">
        <v>150</v>
      </c>
      <c r="C13">
        <v>115</v>
      </c>
      <c r="D13">
        <v>110</v>
      </c>
      <c r="E13">
        <v>130</v>
      </c>
      <c r="F13">
        <v>110</v>
      </c>
      <c r="K13">
        <f>SUM(K8:K12)</f>
        <v>715</v>
      </c>
    </row>
    <row r="16" spans="1:11" x14ac:dyDescent="0.25">
      <c r="A16" t="s">
        <v>31</v>
      </c>
      <c r="B16" t="s">
        <v>601</v>
      </c>
      <c r="C16" t="s">
        <v>729</v>
      </c>
      <c r="D16" t="s">
        <v>728</v>
      </c>
      <c r="E16" t="s">
        <v>730</v>
      </c>
    </row>
    <row r="17" spans="1:5" x14ac:dyDescent="0.25">
      <c r="A17" t="s">
        <v>41</v>
      </c>
      <c r="B17">
        <f>VLOOKUP(A17,A1:C6,3,FALSE)</f>
        <v>2000</v>
      </c>
      <c r="C17">
        <f>SUM(INDEX(A9:F13, MATCH(A17, A8:F8, 0), 0))</f>
        <v>515</v>
      </c>
      <c r="D17">
        <f>VLOOKUP(A17,F1:H6,3,FALSE)</f>
        <v>500</v>
      </c>
      <c r="E17">
        <f>C17*D17</f>
        <v>257500</v>
      </c>
    </row>
    <row r="18" spans="1:5" x14ac:dyDescent="0.25">
      <c r="A18" s="16" t="s">
        <v>42</v>
      </c>
      <c r="B18" s="16">
        <f t="shared" ref="B18:B21" si="0">VLOOKUP(A18,A2:C7,3,FALSE)</f>
        <v>1500</v>
      </c>
      <c r="C18" s="16">
        <f>SUM(INDEX(A9:F13, MATCH(A18, A8:F8, 0), 0))</f>
        <v>575</v>
      </c>
      <c r="D18" s="16">
        <f t="shared" ref="D18:D21" si="1">VLOOKUP(A18,F2:H7,3,FALSE)</f>
        <v>400</v>
      </c>
      <c r="E18" s="16">
        <f t="shared" ref="E18:E21" si="2">C18*D18</f>
        <v>230000</v>
      </c>
    </row>
    <row r="19" spans="1:5" x14ac:dyDescent="0.25">
      <c r="A19" s="16" t="s">
        <v>43</v>
      </c>
      <c r="B19" s="16">
        <f t="shared" si="0"/>
        <v>1800</v>
      </c>
      <c r="C19" s="16">
        <f>SUM(INDEX(A9:F13, MATCH(A19, A8:F8, 0), 0))</f>
        <v>550</v>
      </c>
      <c r="D19" s="16">
        <f t="shared" si="1"/>
        <v>300</v>
      </c>
      <c r="E19" s="16">
        <f t="shared" si="2"/>
        <v>165000</v>
      </c>
    </row>
    <row r="20" spans="1:5" x14ac:dyDescent="0.25">
      <c r="A20" s="16" t="s">
        <v>44</v>
      </c>
      <c r="B20" s="16">
        <f t="shared" si="0"/>
        <v>2200</v>
      </c>
      <c r="C20" s="16">
        <f>SUM(INDEX(A9:F13,MATCH(A20,A8:F8,0),0))</f>
        <v>615</v>
      </c>
      <c r="D20" s="16">
        <f t="shared" si="1"/>
        <v>450</v>
      </c>
      <c r="E20" s="16">
        <f t="shared" si="2"/>
        <v>276750</v>
      </c>
    </row>
    <row r="21" spans="1:5" x14ac:dyDescent="0.25">
      <c r="A21" s="16" t="s">
        <v>45</v>
      </c>
      <c r="B21" s="16">
        <f t="shared" si="0"/>
        <v>1700</v>
      </c>
      <c r="C21" s="16">
        <f>SUM(INDEX(A8:F13, MATCH(A21, A8:F8, 0), 0))</f>
        <v>615</v>
      </c>
      <c r="D21" s="16">
        <f t="shared" si="1"/>
        <v>350</v>
      </c>
      <c r="E21" s="16">
        <f t="shared" si="2"/>
        <v>215250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I28" sqref="I28"/>
    </sheetView>
  </sheetViews>
  <sheetFormatPr defaultRowHeight="15" x14ac:dyDescent="0.25"/>
  <cols>
    <col min="2" max="2" width="17.42578125" customWidth="1"/>
  </cols>
  <sheetData>
    <row r="1" spans="1:7" x14ac:dyDescent="0.25">
      <c r="A1" t="s">
        <v>711</v>
      </c>
    </row>
    <row r="3" spans="1:7" x14ac:dyDescent="0.25">
      <c r="A3" t="s">
        <v>31</v>
      </c>
      <c r="B3" t="s">
        <v>200</v>
      </c>
      <c r="C3" t="s">
        <v>33</v>
      </c>
      <c r="D3" t="s">
        <v>712</v>
      </c>
      <c r="E3" t="s">
        <v>459</v>
      </c>
    </row>
    <row r="4" spans="1:7" x14ac:dyDescent="0.25">
      <c r="A4">
        <v>101</v>
      </c>
      <c r="B4" t="s">
        <v>713</v>
      </c>
      <c r="C4" t="s">
        <v>718</v>
      </c>
      <c r="D4">
        <v>120</v>
      </c>
      <c r="E4">
        <v>1500</v>
      </c>
    </row>
    <row r="5" spans="1:7" x14ac:dyDescent="0.25">
      <c r="A5" s="16">
        <v>102</v>
      </c>
      <c r="B5" t="s">
        <v>714</v>
      </c>
      <c r="C5" s="16" t="s">
        <v>718</v>
      </c>
      <c r="D5">
        <v>300</v>
      </c>
      <c r="E5">
        <v>200</v>
      </c>
    </row>
    <row r="6" spans="1:7" x14ac:dyDescent="0.25">
      <c r="A6" s="16">
        <v>103</v>
      </c>
      <c r="B6" t="s">
        <v>715</v>
      </c>
      <c r="C6" s="16" t="s">
        <v>718</v>
      </c>
      <c r="D6">
        <v>150</v>
      </c>
      <c r="E6">
        <v>2500</v>
      </c>
    </row>
    <row r="7" spans="1:7" x14ac:dyDescent="0.25">
      <c r="A7" s="16">
        <v>104</v>
      </c>
      <c r="B7" t="s">
        <v>717</v>
      </c>
      <c r="C7" s="16" t="s">
        <v>718</v>
      </c>
      <c r="D7">
        <v>200</v>
      </c>
      <c r="E7">
        <v>1800</v>
      </c>
    </row>
    <row r="8" spans="1:7" x14ac:dyDescent="0.25">
      <c r="A8" s="16">
        <v>105</v>
      </c>
      <c r="B8" t="s">
        <v>716</v>
      </c>
      <c r="C8" s="16" t="s">
        <v>718</v>
      </c>
      <c r="D8">
        <v>100</v>
      </c>
      <c r="E8">
        <v>1200</v>
      </c>
    </row>
    <row r="10" spans="1:7" x14ac:dyDescent="0.25">
      <c r="A10" t="s">
        <v>719</v>
      </c>
    </row>
    <row r="12" spans="1:7" x14ac:dyDescent="0.25">
      <c r="A12" t="s">
        <v>31</v>
      </c>
      <c r="B12" t="s">
        <v>214</v>
      </c>
      <c r="C12" s="16" t="s">
        <v>215</v>
      </c>
      <c r="D12" s="16" t="s">
        <v>216</v>
      </c>
      <c r="E12" s="16" t="s">
        <v>217</v>
      </c>
      <c r="F12" s="16" t="s">
        <v>172</v>
      </c>
      <c r="G12" s="16" t="s">
        <v>218</v>
      </c>
    </row>
    <row r="13" spans="1:7" x14ac:dyDescent="0.25">
      <c r="A13">
        <v>101</v>
      </c>
      <c r="B13">
        <v>50</v>
      </c>
      <c r="C13">
        <v>60</v>
      </c>
      <c r="D13">
        <v>55</v>
      </c>
      <c r="E13">
        <v>70</v>
      </c>
      <c r="F13">
        <v>65</v>
      </c>
      <c r="G13">
        <v>80</v>
      </c>
    </row>
    <row r="14" spans="1:7" x14ac:dyDescent="0.25">
      <c r="A14" s="16">
        <v>102</v>
      </c>
      <c r="B14">
        <v>100</v>
      </c>
      <c r="C14">
        <v>120</v>
      </c>
      <c r="D14">
        <v>110</v>
      </c>
      <c r="E14">
        <v>130</v>
      </c>
      <c r="F14">
        <v>125</v>
      </c>
      <c r="G14">
        <v>140</v>
      </c>
    </row>
    <row r="15" spans="1:7" x14ac:dyDescent="0.25">
      <c r="A15" s="16">
        <v>103</v>
      </c>
      <c r="B15">
        <v>80</v>
      </c>
      <c r="C15">
        <v>90</v>
      </c>
      <c r="D15">
        <v>85</v>
      </c>
      <c r="E15">
        <v>95</v>
      </c>
      <c r="F15">
        <v>100</v>
      </c>
      <c r="G15">
        <v>110</v>
      </c>
    </row>
    <row r="16" spans="1:7" x14ac:dyDescent="0.25">
      <c r="A16" s="16">
        <v>104</v>
      </c>
      <c r="B16">
        <v>70</v>
      </c>
      <c r="C16">
        <v>80</v>
      </c>
      <c r="D16">
        <v>75</v>
      </c>
      <c r="E16">
        <v>85</v>
      </c>
      <c r="F16">
        <v>90</v>
      </c>
      <c r="G16">
        <v>95</v>
      </c>
    </row>
    <row r="17" spans="1:7" x14ac:dyDescent="0.25">
      <c r="A17" s="16">
        <v>105</v>
      </c>
      <c r="B17">
        <v>40</v>
      </c>
      <c r="C17">
        <v>50</v>
      </c>
      <c r="D17">
        <v>45</v>
      </c>
      <c r="E17">
        <v>60</v>
      </c>
      <c r="F17">
        <v>55</v>
      </c>
      <c r="G17">
        <v>65</v>
      </c>
    </row>
    <row r="19" spans="1:7" x14ac:dyDescent="0.25">
      <c r="A19" t="s">
        <v>720</v>
      </c>
      <c r="D19" t="s">
        <v>715</v>
      </c>
      <c r="F19">
        <f>VLOOKUP(D19,B3:E8,4,FALSE)</f>
        <v>2500</v>
      </c>
    </row>
    <row r="20" spans="1:7" x14ac:dyDescent="0.25">
      <c r="A20" t="s">
        <v>722</v>
      </c>
      <c r="C20" t="s">
        <v>217</v>
      </c>
      <c r="D20" t="s">
        <v>714</v>
      </c>
      <c r="F20" s="16">
        <f>VLOOKUP(102,A12:G17,5,FALSE)</f>
        <v>130</v>
      </c>
      <c r="G20">
        <f>VLOOKUP(102,A12:G17,5,FALSE)</f>
        <v>130</v>
      </c>
    </row>
    <row r="21" spans="1:7" x14ac:dyDescent="0.25">
      <c r="A21" t="s">
        <v>721</v>
      </c>
      <c r="D21" t="s">
        <v>717</v>
      </c>
      <c r="F21">
        <f>SUM(VLOOKUP(104,A16:G16,2,FALSE),VLOOKUP(104,A16:G16,3,FALSE),VLOOKUP(104,A16:G16,4,FALSE),VLOOKUP(104,A16:G16,5,FALSE),VLOOKUP(104,A16:G16,6,FALSE),VLOOKUP(104,A16:G16,7,FALSE))</f>
        <v>495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activeCell="L28" sqref="L28"/>
    </sheetView>
  </sheetViews>
  <sheetFormatPr defaultRowHeight="15" x14ac:dyDescent="0.25"/>
  <cols>
    <col min="1" max="1" width="10.42578125" bestFit="1" customWidth="1"/>
    <col min="3" max="3" width="13.28515625" customWidth="1"/>
  </cols>
  <sheetData>
    <row r="1" spans="1:9" x14ac:dyDescent="0.25">
      <c r="A1" t="s">
        <v>593</v>
      </c>
      <c r="B1" t="s">
        <v>731</v>
      </c>
      <c r="C1" t="s">
        <v>200</v>
      </c>
      <c r="D1" t="s">
        <v>33</v>
      </c>
      <c r="E1" t="s">
        <v>34</v>
      </c>
      <c r="F1" t="s">
        <v>732</v>
      </c>
    </row>
    <row r="2" spans="1:9" x14ac:dyDescent="0.25">
      <c r="A2" s="24">
        <v>45297</v>
      </c>
      <c r="B2" t="s">
        <v>41</v>
      </c>
      <c r="C2" t="s">
        <v>733</v>
      </c>
      <c r="D2" t="s">
        <v>743</v>
      </c>
      <c r="E2">
        <v>150</v>
      </c>
      <c r="F2">
        <v>1</v>
      </c>
    </row>
    <row r="3" spans="1:9" x14ac:dyDescent="0.25">
      <c r="A3" s="24">
        <v>45297</v>
      </c>
      <c r="B3" s="16" t="s">
        <v>42</v>
      </c>
      <c r="C3" t="s">
        <v>734</v>
      </c>
      <c r="D3" s="16" t="s">
        <v>743</v>
      </c>
      <c r="E3">
        <v>200</v>
      </c>
      <c r="F3">
        <v>1</v>
      </c>
    </row>
    <row r="4" spans="1:9" x14ac:dyDescent="0.25">
      <c r="A4" s="24">
        <v>45328</v>
      </c>
      <c r="B4" s="16" t="s">
        <v>43</v>
      </c>
      <c r="C4" t="s">
        <v>735</v>
      </c>
      <c r="D4" t="s">
        <v>744</v>
      </c>
      <c r="E4">
        <v>180</v>
      </c>
      <c r="F4">
        <v>2</v>
      </c>
      <c r="H4" t="s">
        <v>743</v>
      </c>
      <c r="I4">
        <f>COUNTIF(D2:D11,H4)</f>
        <v>6</v>
      </c>
    </row>
    <row r="5" spans="1:9" x14ac:dyDescent="0.25">
      <c r="A5" s="24">
        <v>45357</v>
      </c>
      <c r="B5" s="16" t="s">
        <v>44</v>
      </c>
      <c r="C5" t="s">
        <v>736</v>
      </c>
      <c r="D5" t="s">
        <v>743</v>
      </c>
      <c r="E5">
        <v>220</v>
      </c>
      <c r="F5">
        <v>1</v>
      </c>
      <c r="H5" t="s">
        <v>744</v>
      </c>
      <c r="I5" s="16">
        <f>COUNTIF(D3:D12,H5)</f>
        <v>4</v>
      </c>
    </row>
    <row r="6" spans="1:9" x14ac:dyDescent="0.25">
      <c r="A6" s="24">
        <v>45357</v>
      </c>
      <c r="B6" s="16" t="s">
        <v>45</v>
      </c>
      <c r="C6" t="s">
        <v>737</v>
      </c>
      <c r="D6" t="s">
        <v>743</v>
      </c>
      <c r="E6">
        <v>170</v>
      </c>
      <c r="F6">
        <v>1</v>
      </c>
    </row>
    <row r="7" spans="1:9" x14ac:dyDescent="0.25">
      <c r="A7" s="24">
        <v>45388</v>
      </c>
      <c r="B7" s="16" t="s">
        <v>565</v>
      </c>
      <c r="C7" t="s">
        <v>738</v>
      </c>
      <c r="D7" t="s">
        <v>744</v>
      </c>
      <c r="E7">
        <v>160</v>
      </c>
      <c r="F7">
        <v>2</v>
      </c>
    </row>
    <row r="8" spans="1:9" x14ac:dyDescent="0.25">
      <c r="A8" s="24">
        <v>45418</v>
      </c>
      <c r="B8" s="16" t="s">
        <v>566</v>
      </c>
      <c r="C8" t="s">
        <v>739</v>
      </c>
      <c r="D8" t="s">
        <v>743</v>
      </c>
      <c r="E8">
        <v>190</v>
      </c>
      <c r="F8">
        <v>1</v>
      </c>
    </row>
    <row r="9" spans="1:9" x14ac:dyDescent="0.25">
      <c r="A9" s="24">
        <v>45449</v>
      </c>
      <c r="B9" s="16" t="s">
        <v>567</v>
      </c>
      <c r="C9" t="s">
        <v>740</v>
      </c>
      <c r="D9" t="s">
        <v>744</v>
      </c>
      <c r="E9">
        <v>200</v>
      </c>
      <c r="F9">
        <v>2</v>
      </c>
    </row>
    <row r="10" spans="1:9" x14ac:dyDescent="0.25">
      <c r="A10" s="24">
        <v>45479</v>
      </c>
      <c r="B10" s="16" t="s">
        <v>568</v>
      </c>
      <c r="C10" t="s">
        <v>741</v>
      </c>
      <c r="D10" t="s">
        <v>743</v>
      </c>
      <c r="E10">
        <v>210</v>
      </c>
      <c r="F10">
        <v>1</v>
      </c>
    </row>
    <row r="11" spans="1:9" x14ac:dyDescent="0.25">
      <c r="A11" s="24">
        <v>45510</v>
      </c>
      <c r="B11" t="s">
        <v>569</v>
      </c>
      <c r="C11" t="s">
        <v>742</v>
      </c>
      <c r="D11" t="s">
        <v>744</v>
      </c>
      <c r="E11">
        <v>140</v>
      </c>
      <c r="F11">
        <v>2</v>
      </c>
    </row>
    <row r="13" spans="1:9" x14ac:dyDescent="0.25">
      <c r="A13" t="s">
        <v>51</v>
      </c>
      <c r="B13">
        <f>LARGE(H4:I5,1)</f>
        <v>6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C10" sqref="C10"/>
    </sheetView>
  </sheetViews>
  <sheetFormatPr defaultRowHeight="15" x14ac:dyDescent="0.25"/>
  <cols>
    <col min="1" max="1" width="17.28515625" customWidth="1"/>
    <col min="2" max="2" width="14.140625" customWidth="1"/>
  </cols>
  <sheetData>
    <row r="1" spans="1:6" x14ac:dyDescent="0.25">
      <c r="A1" t="s">
        <v>254</v>
      </c>
      <c r="B1" t="s">
        <v>518</v>
      </c>
      <c r="C1" t="s">
        <v>519</v>
      </c>
      <c r="D1" t="s">
        <v>520</v>
      </c>
      <c r="E1" t="s">
        <v>521</v>
      </c>
      <c r="F1" t="s">
        <v>522</v>
      </c>
    </row>
    <row r="2" spans="1:6" x14ac:dyDescent="0.25">
      <c r="A2" t="s">
        <v>214</v>
      </c>
      <c r="B2">
        <v>120000</v>
      </c>
      <c r="C2">
        <v>150000</v>
      </c>
      <c r="D2">
        <v>80000</v>
      </c>
      <c r="E2">
        <v>60000</v>
      </c>
      <c r="F2">
        <v>70000</v>
      </c>
    </row>
    <row r="3" spans="1:6" x14ac:dyDescent="0.25">
      <c r="A3" t="s">
        <v>215</v>
      </c>
      <c r="B3">
        <v>130000</v>
      </c>
      <c r="C3">
        <v>160000</v>
      </c>
      <c r="D3">
        <v>85000</v>
      </c>
      <c r="E3">
        <v>65000</v>
      </c>
      <c r="F3">
        <v>75000</v>
      </c>
    </row>
    <row r="4" spans="1:6" x14ac:dyDescent="0.25">
      <c r="A4" s="16" t="s">
        <v>216</v>
      </c>
      <c r="B4">
        <v>140000</v>
      </c>
      <c r="C4">
        <v>170000</v>
      </c>
      <c r="D4">
        <v>90000</v>
      </c>
      <c r="E4">
        <v>70000</v>
      </c>
      <c r="F4">
        <v>80000</v>
      </c>
    </row>
    <row r="5" spans="1:6" x14ac:dyDescent="0.25">
      <c r="A5" s="16" t="s">
        <v>217</v>
      </c>
      <c r="B5">
        <v>150000</v>
      </c>
      <c r="C5">
        <v>180000</v>
      </c>
      <c r="D5">
        <v>95000</v>
      </c>
      <c r="E5">
        <v>75000</v>
      </c>
      <c r="F5">
        <v>85000</v>
      </c>
    </row>
    <row r="6" spans="1:6" x14ac:dyDescent="0.25">
      <c r="A6" s="16" t="s">
        <v>172</v>
      </c>
      <c r="B6">
        <v>160000</v>
      </c>
      <c r="C6">
        <v>190000</v>
      </c>
      <c r="D6">
        <v>100000</v>
      </c>
      <c r="E6">
        <v>80000</v>
      </c>
      <c r="F6">
        <v>90000</v>
      </c>
    </row>
    <row r="7" spans="1:6" x14ac:dyDescent="0.25">
      <c r="A7" s="16" t="s">
        <v>218</v>
      </c>
      <c r="B7">
        <v>170000</v>
      </c>
      <c r="C7">
        <v>200000</v>
      </c>
      <c r="D7">
        <v>105000</v>
      </c>
      <c r="E7">
        <v>85000</v>
      </c>
      <c r="F7">
        <v>95000</v>
      </c>
    </row>
    <row r="9" spans="1:6" x14ac:dyDescent="0.25">
      <c r="A9" t="s">
        <v>523</v>
      </c>
      <c r="B9" t="s">
        <v>519</v>
      </c>
      <c r="C9">
        <f ca="1">AVERAGE(OFFSET(C5, COUNTA(A5:A7)-3, 0, 3, 1))</f>
        <v>190000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B8" sqref="B8"/>
    </sheetView>
  </sheetViews>
  <sheetFormatPr defaultRowHeight="15" x14ac:dyDescent="0.25"/>
  <cols>
    <col min="2" max="2" width="14.5703125" customWidth="1"/>
    <col min="3" max="3" width="11.42578125" customWidth="1"/>
  </cols>
  <sheetData>
    <row r="1" spans="1:6" x14ac:dyDescent="0.25">
      <c r="A1" t="s">
        <v>358</v>
      </c>
      <c r="B1" t="s">
        <v>200</v>
      </c>
      <c r="C1" t="s">
        <v>33</v>
      </c>
      <c r="D1" t="s">
        <v>34</v>
      </c>
      <c r="E1" t="s">
        <v>120</v>
      </c>
      <c r="F1" t="s">
        <v>36</v>
      </c>
    </row>
    <row r="2" spans="1:6" x14ac:dyDescent="0.25">
      <c r="A2" t="s">
        <v>41</v>
      </c>
      <c r="B2" t="s">
        <v>46</v>
      </c>
      <c r="C2" t="s">
        <v>37</v>
      </c>
      <c r="D2">
        <v>150</v>
      </c>
      <c r="E2">
        <v>10000</v>
      </c>
      <c r="F2">
        <v>1500000</v>
      </c>
    </row>
    <row r="3" spans="1:6" x14ac:dyDescent="0.25">
      <c r="A3" s="16" t="s">
        <v>42</v>
      </c>
      <c r="B3" t="s">
        <v>47</v>
      </c>
      <c r="C3" t="s">
        <v>37</v>
      </c>
      <c r="D3">
        <v>300</v>
      </c>
      <c r="E3">
        <v>1500</v>
      </c>
      <c r="F3">
        <v>450000</v>
      </c>
    </row>
    <row r="4" spans="1:6" x14ac:dyDescent="0.25">
      <c r="A4" s="16" t="s">
        <v>43</v>
      </c>
      <c r="B4" t="s">
        <v>48</v>
      </c>
      <c r="C4" t="s">
        <v>38</v>
      </c>
      <c r="D4">
        <v>500</v>
      </c>
      <c r="E4">
        <v>500</v>
      </c>
      <c r="F4">
        <v>250000</v>
      </c>
    </row>
    <row r="5" spans="1:6" x14ac:dyDescent="0.25">
      <c r="A5" s="16" t="s">
        <v>44</v>
      </c>
      <c r="B5" t="s">
        <v>49</v>
      </c>
      <c r="C5" t="s">
        <v>39</v>
      </c>
      <c r="D5">
        <v>1000</v>
      </c>
      <c r="E5">
        <v>200</v>
      </c>
      <c r="F5">
        <v>200000</v>
      </c>
    </row>
    <row r="6" spans="1:6" x14ac:dyDescent="0.25">
      <c r="A6" s="16" t="s">
        <v>45</v>
      </c>
      <c r="B6" t="s">
        <v>50</v>
      </c>
      <c r="C6" t="s">
        <v>745</v>
      </c>
      <c r="D6">
        <v>150</v>
      </c>
      <c r="E6">
        <v>1000</v>
      </c>
      <c r="F6">
        <v>150000</v>
      </c>
    </row>
    <row r="8" spans="1:6" x14ac:dyDescent="0.25">
      <c r="A8" t="s">
        <v>51</v>
      </c>
      <c r="B8">
        <f>MIN(F2:F6)</f>
        <v>150000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selection activeCell="F28" sqref="F28"/>
    </sheetView>
  </sheetViews>
  <sheetFormatPr defaultRowHeight="15" x14ac:dyDescent="0.25"/>
  <sheetData>
    <row r="1" spans="1:2" x14ac:dyDescent="0.25">
      <c r="A1" t="s">
        <v>287</v>
      </c>
      <c r="B1" t="s">
        <v>746</v>
      </c>
    </row>
    <row r="2" spans="1:2" x14ac:dyDescent="0.25">
      <c r="A2" t="s">
        <v>747</v>
      </c>
      <c r="B2">
        <v>85</v>
      </c>
    </row>
    <row r="3" spans="1:2" x14ac:dyDescent="0.25">
      <c r="A3" s="16" t="s">
        <v>748</v>
      </c>
      <c r="B3">
        <v>78</v>
      </c>
    </row>
    <row r="4" spans="1:2" x14ac:dyDescent="0.25">
      <c r="A4" s="16" t="s">
        <v>749</v>
      </c>
      <c r="B4">
        <v>92</v>
      </c>
    </row>
    <row r="5" spans="1:2" x14ac:dyDescent="0.25">
      <c r="A5" s="16" t="s">
        <v>750</v>
      </c>
      <c r="B5">
        <v>65</v>
      </c>
    </row>
    <row r="6" spans="1:2" x14ac:dyDescent="0.25">
      <c r="A6" s="16" t="s">
        <v>751</v>
      </c>
      <c r="B6">
        <v>88</v>
      </c>
    </row>
    <row r="7" spans="1:2" x14ac:dyDescent="0.25">
      <c r="A7" s="16" t="s">
        <v>752</v>
      </c>
      <c r="B7">
        <v>76</v>
      </c>
    </row>
    <row r="8" spans="1:2" x14ac:dyDescent="0.25">
      <c r="A8" s="16" t="s">
        <v>753</v>
      </c>
      <c r="B8">
        <v>90</v>
      </c>
    </row>
    <row r="9" spans="1:2" x14ac:dyDescent="0.25">
      <c r="A9" s="16" t="s">
        <v>754</v>
      </c>
      <c r="B9">
        <v>70</v>
      </c>
    </row>
    <row r="10" spans="1:2" x14ac:dyDescent="0.25">
      <c r="A10" s="16" t="s">
        <v>755</v>
      </c>
      <c r="B10">
        <v>60</v>
      </c>
    </row>
    <row r="11" spans="1:2" x14ac:dyDescent="0.25">
      <c r="A11" s="16" t="s">
        <v>756</v>
      </c>
      <c r="B11">
        <v>82</v>
      </c>
    </row>
    <row r="12" spans="1:2" x14ac:dyDescent="0.25">
      <c r="A12" s="16" t="s">
        <v>757</v>
      </c>
      <c r="B12">
        <v>75</v>
      </c>
    </row>
    <row r="13" spans="1:2" x14ac:dyDescent="0.25">
      <c r="A13" s="16" t="s">
        <v>758</v>
      </c>
      <c r="B13">
        <v>68</v>
      </c>
    </row>
    <row r="14" spans="1:2" x14ac:dyDescent="0.25">
      <c r="A14" s="16" t="s">
        <v>759</v>
      </c>
      <c r="B14">
        <v>94</v>
      </c>
    </row>
    <row r="15" spans="1:2" x14ac:dyDescent="0.25">
      <c r="A15" s="16" t="s">
        <v>760</v>
      </c>
      <c r="B15">
        <v>81</v>
      </c>
    </row>
    <row r="16" spans="1:2" x14ac:dyDescent="0.25">
      <c r="A16" s="16" t="s">
        <v>761</v>
      </c>
      <c r="B16">
        <v>73</v>
      </c>
    </row>
    <row r="17" spans="1:2" x14ac:dyDescent="0.25">
      <c r="A17" s="16" t="s">
        <v>762</v>
      </c>
      <c r="B17">
        <v>77</v>
      </c>
    </row>
    <row r="18" spans="1:2" x14ac:dyDescent="0.25">
      <c r="A18" s="16" t="s">
        <v>763</v>
      </c>
      <c r="B18">
        <v>89</v>
      </c>
    </row>
    <row r="19" spans="1:2" x14ac:dyDescent="0.25">
      <c r="A19" s="16" t="s">
        <v>764</v>
      </c>
      <c r="B19">
        <v>84</v>
      </c>
    </row>
    <row r="20" spans="1:2" x14ac:dyDescent="0.25">
      <c r="A20" s="16" t="s">
        <v>765</v>
      </c>
      <c r="B20">
        <v>72</v>
      </c>
    </row>
    <row r="21" spans="1:2" x14ac:dyDescent="0.25">
      <c r="A21" s="16" t="s">
        <v>766</v>
      </c>
      <c r="B21">
        <v>80</v>
      </c>
    </row>
    <row r="23" spans="1:2" x14ac:dyDescent="0.25">
      <c r="A23" t="s">
        <v>767</v>
      </c>
      <c r="B23">
        <f>QUARTILE(B2:B21,1)</f>
        <v>72.75</v>
      </c>
    </row>
    <row r="24" spans="1:2" x14ac:dyDescent="0.25">
      <c r="A24" t="s">
        <v>768</v>
      </c>
      <c r="B24">
        <f>QUARTILE(B2:B21,2)</f>
        <v>79</v>
      </c>
    </row>
    <row r="25" spans="1:2" x14ac:dyDescent="0.25">
      <c r="A25" t="s">
        <v>769</v>
      </c>
      <c r="B25">
        <f>QUARTILE(B2:B21,3)</f>
        <v>85.75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K23" sqref="K23"/>
    </sheetView>
  </sheetViews>
  <sheetFormatPr defaultRowHeight="15" x14ac:dyDescent="0.25"/>
  <cols>
    <col min="1" max="1" width="19.5703125" customWidth="1"/>
  </cols>
  <sheetData>
    <row r="1" spans="1:5" x14ac:dyDescent="0.25">
      <c r="A1" t="s">
        <v>200</v>
      </c>
      <c r="B1" t="s">
        <v>775</v>
      </c>
      <c r="C1" t="s">
        <v>776</v>
      </c>
      <c r="D1" t="s">
        <v>782</v>
      </c>
      <c r="E1" t="s">
        <v>788</v>
      </c>
    </row>
    <row r="2" spans="1:5" x14ac:dyDescent="0.25">
      <c r="A2" t="s">
        <v>770</v>
      </c>
      <c r="B2">
        <v>1001</v>
      </c>
      <c r="C2" t="s">
        <v>777</v>
      </c>
      <c r="D2" t="s">
        <v>783</v>
      </c>
      <c r="E2">
        <f>FIND(D2,C2,1)</f>
        <v>8</v>
      </c>
    </row>
    <row r="3" spans="1:5" x14ac:dyDescent="0.25">
      <c r="A3" t="s">
        <v>771</v>
      </c>
      <c r="B3" s="16">
        <v>1002</v>
      </c>
      <c r="C3" t="s">
        <v>778</v>
      </c>
      <c r="D3" t="s">
        <v>786</v>
      </c>
      <c r="E3">
        <f>FIND(D3,C3,1)</f>
        <v>33</v>
      </c>
    </row>
    <row r="4" spans="1:5" x14ac:dyDescent="0.25">
      <c r="A4" t="s">
        <v>772</v>
      </c>
      <c r="B4" s="16">
        <v>1003</v>
      </c>
      <c r="C4" t="s">
        <v>779</v>
      </c>
      <c r="D4" t="s">
        <v>784</v>
      </c>
      <c r="E4" s="16">
        <f t="shared" ref="E4:E6" si="0">FIND(D4,C4,1)</f>
        <v>9</v>
      </c>
    </row>
    <row r="5" spans="1:5" x14ac:dyDescent="0.25">
      <c r="A5" t="s">
        <v>773</v>
      </c>
      <c r="B5" s="16">
        <v>1004</v>
      </c>
      <c r="C5" t="s">
        <v>780</v>
      </c>
      <c r="D5" t="s">
        <v>787</v>
      </c>
      <c r="E5" s="16">
        <f t="shared" si="0"/>
        <v>32</v>
      </c>
    </row>
    <row r="6" spans="1:5" x14ac:dyDescent="0.25">
      <c r="A6" t="s">
        <v>774</v>
      </c>
      <c r="B6" s="16">
        <v>1005</v>
      </c>
      <c r="C6" t="s">
        <v>781</v>
      </c>
      <c r="D6" t="s">
        <v>785</v>
      </c>
      <c r="E6" s="16">
        <f t="shared" si="0"/>
        <v>12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opLeftCell="A6" workbookViewId="0">
      <selection activeCell="B31" sqref="B31"/>
    </sheetView>
  </sheetViews>
  <sheetFormatPr defaultRowHeight="15" x14ac:dyDescent="0.25"/>
  <cols>
    <col min="2" max="2" width="21" customWidth="1"/>
    <col min="3" max="3" width="17.140625" customWidth="1"/>
    <col min="4" max="4" width="14.5703125" customWidth="1"/>
  </cols>
  <sheetData>
    <row r="1" spans="1:4" x14ac:dyDescent="0.25">
      <c r="A1" t="s">
        <v>789</v>
      </c>
      <c r="B1" t="s">
        <v>790</v>
      </c>
      <c r="C1" t="s">
        <v>791</v>
      </c>
    </row>
    <row r="2" spans="1:4" x14ac:dyDescent="0.25">
      <c r="A2" t="s">
        <v>792</v>
      </c>
      <c r="B2" t="s">
        <v>797</v>
      </c>
      <c r="C2" t="s">
        <v>802</v>
      </c>
    </row>
    <row r="3" spans="1:4" x14ac:dyDescent="0.25">
      <c r="A3" s="16" t="s">
        <v>793</v>
      </c>
      <c r="B3" t="s">
        <v>798</v>
      </c>
      <c r="C3" s="16" t="s">
        <v>804</v>
      </c>
    </row>
    <row r="4" spans="1:4" x14ac:dyDescent="0.25">
      <c r="A4" s="16" t="s">
        <v>794</v>
      </c>
      <c r="B4" t="s">
        <v>799</v>
      </c>
      <c r="C4" s="16" t="s">
        <v>803</v>
      </c>
    </row>
    <row r="5" spans="1:4" x14ac:dyDescent="0.25">
      <c r="A5" s="16" t="s">
        <v>795</v>
      </c>
      <c r="B5" t="s">
        <v>800</v>
      </c>
      <c r="C5" s="16" t="s">
        <v>805</v>
      </c>
    </row>
    <row r="6" spans="1:4" x14ac:dyDescent="0.25">
      <c r="A6" s="16" t="s">
        <v>796</v>
      </c>
      <c r="B6" t="s">
        <v>801</v>
      </c>
      <c r="C6" s="16" t="s">
        <v>806</v>
      </c>
    </row>
    <row r="10" spans="1:4" x14ac:dyDescent="0.25">
      <c r="A10" s="16" t="s">
        <v>791</v>
      </c>
      <c r="B10" t="s">
        <v>807</v>
      </c>
      <c r="C10" t="s">
        <v>808</v>
      </c>
      <c r="D10" t="s">
        <v>809</v>
      </c>
    </row>
    <row r="11" spans="1:4" x14ac:dyDescent="0.25">
      <c r="A11" s="16" t="s">
        <v>802</v>
      </c>
      <c r="B11" t="s">
        <v>810</v>
      </c>
      <c r="C11">
        <v>4.5</v>
      </c>
      <c r="D11">
        <v>3</v>
      </c>
    </row>
    <row r="12" spans="1:4" x14ac:dyDescent="0.25">
      <c r="A12" s="16" t="s">
        <v>804</v>
      </c>
      <c r="B12" t="s">
        <v>811</v>
      </c>
      <c r="C12">
        <v>4.7</v>
      </c>
      <c r="D12">
        <v>2</v>
      </c>
    </row>
    <row r="13" spans="1:4" x14ac:dyDescent="0.25">
      <c r="A13" s="16" t="s">
        <v>803</v>
      </c>
      <c r="B13" t="s">
        <v>812</v>
      </c>
      <c r="C13">
        <v>4.3</v>
      </c>
      <c r="D13">
        <v>5</v>
      </c>
    </row>
    <row r="14" spans="1:4" x14ac:dyDescent="0.25">
      <c r="A14" s="16" t="s">
        <v>805</v>
      </c>
      <c r="B14" t="s">
        <v>813</v>
      </c>
      <c r="C14">
        <v>4.8</v>
      </c>
      <c r="D14">
        <v>4</v>
      </c>
    </row>
    <row r="15" spans="1:4" x14ac:dyDescent="0.25">
      <c r="A15" s="16" t="s">
        <v>806</v>
      </c>
      <c r="B15" t="s">
        <v>814</v>
      </c>
      <c r="C15">
        <v>4.5999999999999996</v>
      </c>
      <c r="D15">
        <v>3</v>
      </c>
    </row>
    <row r="19" spans="1:5" x14ac:dyDescent="0.25">
      <c r="A19" t="s">
        <v>789</v>
      </c>
      <c r="B19" t="s">
        <v>815</v>
      </c>
    </row>
    <row r="20" spans="1:5" x14ac:dyDescent="0.25">
      <c r="A20" s="16" t="s">
        <v>792</v>
      </c>
      <c r="B20">
        <v>1200</v>
      </c>
    </row>
    <row r="21" spans="1:5" x14ac:dyDescent="0.25">
      <c r="A21" s="16" t="s">
        <v>793</v>
      </c>
      <c r="B21">
        <v>850</v>
      </c>
    </row>
    <row r="22" spans="1:5" x14ac:dyDescent="0.25">
      <c r="A22" s="16" t="s">
        <v>794</v>
      </c>
      <c r="B22">
        <v>900</v>
      </c>
    </row>
    <row r="23" spans="1:5" x14ac:dyDescent="0.25">
      <c r="A23" s="16" t="s">
        <v>795</v>
      </c>
      <c r="B23">
        <v>750</v>
      </c>
    </row>
    <row r="24" spans="1:5" x14ac:dyDescent="0.25">
      <c r="A24" s="16" t="s">
        <v>796</v>
      </c>
      <c r="B24">
        <v>1150</v>
      </c>
    </row>
    <row r="27" spans="1:5" x14ac:dyDescent="0.25">
      <c r="A27" t="s">
        <v>816</v>
      </c>
      <c r="B27" t="s">
        <v>790</v>
      </c>
      <c r="C27" t="s">
        <v>817</v>
      </c>
      <c r="D27" t="s">
        <v>818</v>
      </c>
      <c r="E27" t="s">
        <v>815</v>
      </c>
    </row>
    <row r="28" spans="1:5" x14ac:dyDescent="0.25">
      <c r="A28" s="16" t="s">
        <v>792</v>
      </c>
      <c r="B28" t="str">
        <f>VLOOKUP(A28,A1:C6,2,FALSE)</f>
        <v>Basic Math</v>
      </c>
      <c r="C28" t="str">
        <f>VLOOKUP(C2,$A$10:$D$15,2,FALSE)</f>
        <v>Dr.Sharma</v>
      </c>
      <c r="D28">
        <f>VLOOKUP(C28,$B$10:$D$15,2,FALSE)</f>
        <v>4.5</v>
      </c>
      <c r="E28">
        <f>VLOOKUP(A28,$A$19:$B$24,2,FALSE)</f>
        <v>1200</v>
      </c>
    </row>
    <row r="29" spans="1:5" x14ac:dyDescent="0.25">
      <c r="A29" s="16" t="s">
        <v>793</v>
      </c>
      <c r="B29" t="str">
        <f>VLOOKUP(A29,$A$1:$C$6,2,FALSE)</f>
        <v>Advanced Physics</v>
      </c>
      <c r="C29" s="16" t="str">
        <f t="shared" ref="C29:C32" si="0">VLOOKUP(C3,$A$10:$D$15,2,FALSE)</f>
        <v>Prof.Singh</v>
      </c>
      <c r="D29" s="16">
        <f t="shared" ref="D29:D32" si="1">VLOOKUP(C29,$B$10:$D$15,2,FALSE)</f>
        <v>4.7</v>
      </c>
      <c r="E29" s="16">
        <f t="shared" ref="E29:E32" si="2">VLOOKUP(A29,$A$19:$B$24,2,FALSE)</f>
        <v>850</v>
      </c>
    </row>
    <row r="30" spans="1:5" x14ac:dyDescent="0.25">
      <c r="A30" s="16" t="s">
        <v>794</v>
      </c>
      <c r="B30" s="16" t="str">
        <f t="shared" ref="B30:B32" si="3">VLOOKUP(A30,$A$1:$C$6,2,FALSE)</f>
        <v>Indian History</v>
      </c>
      <c r="C30" s="16" t="str">
        <f t="shared" si="0"/>
        <v>Dr.Verma</v>
      </c>
      <c r="D30" s="16">
        <f t="shared" si="1"/>
        <v>4.3</v>
      </c>
      <c r="E30" s="16">
        <f t="shared" si="2"/>
        <v>900</v>
      </c>
    </row>
    <row r="31" spans="1:5" x14ac:dyDescent="0.25">
      <c r="A31" s="16" t="s">
        <v>795</v>
      </c>
      <c r="B31" s="16" t="str">
        <f t="shared" si="3"/>
        <v>English Literature</v>
      </c>
      <c r="C31" s="16" t="str">
        <f t="shared" si="0"/>
        <v>Prof.Kapoor</v>
      </c>
      <c r="D31" s="16">
        <f t="shared" si="1"/>
        <v>4.8</v>
      </c>
      <c r="E31" s="16">
        <f t="shared" si="2"/>
        <v>750</v>
      </c>
    </row>
    <row r="32" spans="1:5" x14ac:dyDescent="0.25">
      <c r="A32" s="16" t="s">
        <v>796</v>
      </c>
      <c r="B32" s="16" t="str">
        <f t="shared" si="3"/>
        <v>Data Science Essentials</v>
      </c>
      <c r="C32" s="16" t="str">
        <f t="shared" si="0"/>
        <v>Dr.Mishra</v>
      </c>
      <c r="D32" s="16">
        <f t="shared" si="1"/>
        <v>4.5999999999999996</v>
      </c>
      <c r="E32" s="16">
        <f t="shared" si="2"/>
        <v>1150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C28" sqref="C28"/>
    </sheetView>
  </sheetViews>
  <sheetFormatPr defaultRowHeight="15" x14ac:dyDescent="0.25"/>
  <cols>
    <col min="1" max="1" width="31" customWidth="1"/>
    <col min="2" max="2" width="20.28515625" customWidth="1"/>
    <col min="3" max="3" width="12" bestFit="1" customWidth="1"/>
  </cols>
  <sheetData>
    <row r="1" spans="1:3" x14ac:dyDescent="0.25">
      <c r="A1" t="s">
        <v>819</v>
      </c>
      <c r="B1" t="s">
        <v>820</v>
      </c>
      <c r="C1" t="s">
        <v>821</v>
      </c>
    </row>
    <row r="2" spans="1:3" x14ac:dyDescent="0.25">
      <c r="A2" t="s">
        <v>81</v>
      </c>
      <c r="B2">
        <v>250</v>
      </c>
      <c r="C2">
        <v>1550</v>
      </c>
    </row>
    <row r="3" spans="1:3" x14ac:dyDescent="0.25">
      <c r="A3" t="s">
        <v>78</v>
      </c>
      <c r="B3">
        <v>150</v>
      </c>
      <c r="C3">
        <v>2485</v>
      </c>
    </row>
    <row r="4" spans="1:3" x14ac:dyDescent="0.25">
      <c r="A4" t="s">
        <v>80</v>
      </c>
      <c r="B4">
        <v>300</v>
      </c>
      <c r="C4">
        <v>1760</v>
      </c>
    </row>
    <row r="5" spans="1:3" x14ac:dyDescent="0.25">
      <c r="A5" t="s">
        <v>79</v>
      </c>
      <c r="B5">
        <v>200</v>
      </c>
      <c r="C5">
        <v>3050</v>
      </c>
    </row>
    <row r="6" spans="1:3" x14ac:dyDescent="0.25">
      <c r="A6" t="s">
        <v>822</v>
      </c>
      <c r="B6">
        <v>180</v>
      </c>
      <c r="C6">
        <v>1200</v>
      </c>
    </row>
    <row r="7" spans="1:3" x14ac:dyDescent="0.25">
      <c r="A7" t="s">
        <v>823</v>
      </c>
      <c r="B7">
        <v>220</v>
      </c>
      <c r="C7">
        <v>650</v>
      </c>
    </row>
    <row r="8" spans="1:3" x14ac:dyDescent="0.25">
      <c r="A8" t="s">
        <v>82</v>
      </c>
      <c r="B8">
        <v>180</v>
      </c>
      <c r="C8">
        <v>670</v>
      </c>
    </row>
    <row r="9" spans="1:3" x14ac:dyDescent="0.25">
      <c r="A9" t="s">
        <v>824</v>
      </c>
      <c r="B9">
        <v>150</v>
      </c>
      <c r="C9">
        <v>800</v>
      </c>
    </row>
    <row r="10" spans="1:3" x14ac:dyDescent="0.25">
      <c r="A10" t="s">
        <v>477</v>
      </c>
      <c r="B10">
        <v>300</v>
      </c>
      <c r="C10">
        <v>450</v>
      </c>
    </row>
    <row r="11" spans="1:3" x14ac:dyDescent="0.25">
      <c r="A11" t="s">
        <v>825</v>
      </c>
      <c r="B11">
        <v>200</v>
      </c>
      <c r="C11">
        <v>1100</v>
      </c>
    </row>
    <row r="13" spans="1:3" x14ac:dyDescent="0.25">
      <c r="A13" t="s">
        <v>826</v>
      </c>
      <c r="B13">
        <f>B2*C2+B3*C3+B4*C4+B5*C5+B6*C6+B7*C7+B8*C8+B9*C9+B10*C10+B11*C11</f>
        <v>2852850</v>
      </c>
      <c r="C13" s="16"/>
    </row>
    <row r="14" spans="1:3" x14ac:dyDescent="0.25">
      <c r="A14" t="s">
        <v>827</v>
      </c>
      <c r="B14">
        <f>AVERAGE(C2:C11)</f>
        <v>1371.5</v>
      </c>
    </row>
    <row r="15" spans="1:3" x14ac:dyDescent="0.25">
      <c r="A15" t="s">
        <v>828</v>
      </c>
      <c r="B15">
        <f>COUNTA(A2:A11)</f>
        <v>10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F28" sqref="F28"/>
    </sheetView>
  </sheetViews>
  <sheetFormatPr defaultRowHeight="15" x14ac:dyDescent="0.25"/>
  <cols>
    <col min="7" max="7" width="18.42578125" customWidth="1"/>
  </cols>
  <sheetData>
    <row r="1" spans="1:8" x14ac:dyDescent="0.25">
      <c r="A1" t="s">
        <v>829</v>
      </c>
      <c r="B1" t="s">
        <v>830</v>
      </c>
      <c r="C1" s="16" t="s">
        <v>831</v>
      </c>
      <c r="D1" s="16" t="s">
        <v>832</v>
      </c>
      <c r="E1" s="16" t="s">
        <v>833</v>
      </c>
      <c r="F1" s="16" t="s">
        <v>834</v>
      </c>
      <c r="G1" t="s">
        <v>840</v>
      </c>
      <c r="H1" t="s">
        <v>841</v>
      </c>
    </row>
    <row r="2" spans="1:8" x14ac:dyDescent="0.25">
      <c r="A2" t="s">
        <v>838</v>
      </c>
      <c r="B2">
        <v>120</v>
      </c>
      <c r="C2">
        <v>150</v>
      </c>
      <c r="D2">
        <v>110</v>
      </c>
      <c r="E2">
        <v>170</v>
      </c>
      <c r="F2">
        <v>130</v>
      </c>
      <c r="G2">
        <f>MATCH(MAX(B2:F2),B2:F2,0)</f>
        <v>4</v>
      </c>
      <c r="H2" t="str">
        <f>ADDRESS(ROW(B2),MATCH(MAX(B2:F2),B2:F2,0)+COLUMN(B2)-1)</f>
        <v>$E$2</v>
      </c>
    </row>
    <row r="3" spans="1:8" x14ac:dyDescent="0.25">
      <c r="A3" t="s">
        <v>839</v>
      </c>
      <c r="B3">
        <v>100</v>
      </c>
      <c r="C3">
        <v>180</v>
      </c>
      <c r="D3">
        <v>160</v>
      </c>
      <c r="E3">
        <v>140</v>
      </c>
      <c r="F3">
        <v>190</v>
      </c>
      <c r="G3" s="16">
        <f t="shared" ref="G3:G6" si="0">MATCH(MAX(B3:F3),B3:F3,0)</f>
        <v>5</v>
      </c>
      <c r="H3" s="16" t="str">
        <f t="shared" ref="H3:H6" si="1">ADDRESS(ROW(B3),MATCH(MAX(B3:F3),B3:F3,0)+COLUMN(B3)-1)</f>
        <v>$F$3</v>
      </c>
    </row>
    <row r="4" spans="1:8" x14ac:dyDescent="0.25">
      <c r="A4" s="16" t="s">
        <v>836</v>
      </c>
      <c r="B4">
        <v>200</v>
      </c>
      <c r="C4">
        <v>210</v>
      </c>
      <c r="D4">
        <v>190</v>
      </c>
      <c r="E4">
        <v>220</v>
      </c>
      <c r="F4">
        <v>180</v>
      </c>
      <c r="G4" s="16">
        <f t="shared" si="0"/>
        <v>4</v>
      </c>
      <c r="H4" s="16" t="str">
        <f t="shared" si="1"/>
        <v>$E$4</v>
      </c>
    </row>
    <row r="5" spans="1:8" x14ac:dyDescent="0.25">
      <c r="A5" s="16" t="s">
        <v>837</v>
      </c>
      <c r="B5">
        <v>140</v>
      </c>
      <c r="C5">
        <v>130</v>
      </c>
      <c r="D5">
        <v>150</v>
      </c>
      <c r="E5">
        <v>160</v>
      </c>
      <c r="F5">
        <v>170</v>
      </c>
      <c r="G5" s="16">
        <f t="shared" si="0"/>
        <v>5</v>
      </c>
      <c r="H5" s="16" t="str">
        <f t="shared" si="1"/>
        <v>$F$5</v>
      </c>
    </row>
    <row r="6" spans="1:8" x14ac:dyDescent="0.25">
      <c r="A6" t="s">
        <v>835</v>
      </c>
      <c r="B6">
        <v>180</v>
      </c>
      <c r="C6">
        <v>170</v>
      </c>
      <c r="D6">
        <v>190</v>
      </c>
      <c r="E6">
        <v>200</v>
      </c>
      <c r="F6">
        <v>210</v>
      </c>
      <c r="G6" s="16">
        <f t="shared" si="0"/>
        <v>5</v>
      </c>
      <c r="H6" s="16" t="str">
        <f t="shared" si="1"/>
        <v>$F$6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>
      <selection activeCell="K8" sqref="K8"/>
    </sheetView>
  </sheetViews>
  <sheetFormatPr defaultRowHeight="15" x14ac:dyDescent="0.25"/>
  <cols>
    <col min="2" max="2" width="15.7109375" customWidth="1"/>
    <col min="6" max="6" width="25.42578125" customWidth="1"/>
    <col min="7" max="7" width="15.5703125" bestFit="1" customWidth="1"/>
  </cols>
  <sheetData>
    <row r="1" spans="1:12" x14ac:dyDescent="0.25">
      <c r="A1" t="s">
        <v>97</v>
      </c>
      <c r="B1" t="s">
        <v>842</v>
      </c>
      <c r="C1" t="s">
        <v>843</v>
      </c>
      <c r="D1" t="s">
        <v>844</v>
      </c>
      <c r="E1" t="s">
        <v>845</v>
      </c>
      <c r="F1" t="s">
        <v>846</v>
      </c>
      <c r="G1" t="s">
        <v>847</v>
      </c>
    </row>
    <row r="2" spans="1:12" x14ac:dyDescent="0.25">
      <c r="A2" t="s">
        <v>98</v>
      </c>
      <c r="B2" s="27" t="s">
        <v>852</v>
      </c>
      <c r="C2">
        <v>60</v>
      </c>
      <c r="D2" t="s">
        <v>4</v>
      </c>
      <c r="E2">
        <v>120</v>
      </c>
      <c r="F2" s="27">
        <f>DATE(2024,7,15)+TIME(10,0,0)+TIME(1,0,0)</f>
        <v>45488.458333333328</v>
      </c>
      <c r="G2" s="27">
        <f>E2/1440+F2</f>
        <v>45488.541666666664</v>
      </c>
    </row>
    <row r="3" spans="1:12" x14ac:dyDescent="0.25">
      <c r="A3" s="16" t="s">
        <v>99</v>
      </c>
      <c r="B3" s="27" t="s">
        <v>851</v>
      </c>
      <c r="C3">
        <v>40</v>
      </c>
      <c r="D3" t="s">
        <v>7</v>
      </c>
      <c r="E3">
        <v>90</v>
      </c>
      <c r="F3" s="27">
        <f>DATE(2024,7,15)+TIME(12,30,0)+TIME(0,30,0)</f>
        <v>45488.541666666672</v>
      </c>
      <c r="G3" s="27">
        <f>E3/1440+F3</f>
        <v>45488.604166666672</v>
      </c>
    </row>
    <row r="4" spans="1:12" x14ac:dyDescent="0.25">
      <c r="A4" s="16" t="s">
        <v>100</v>
      </c>
      <c r="B4" s="27" t="s">
        <v>850</v>
      </c>
      <c r="C4">
        <v>80</v>
      </c>
      <c r="D4" t="s">
        <v>4</v>
      </c>
      <c r="E4">
        <v>150</v>
      </c>
      <c r="F4" s="27">
        <f>DATE(2024,7,15)+TIME(15,45,0)+TIME(1,0,0)</f>
        <v>45488.697916666664</v>
      </c>
      <c r="G4" s="27">
        <f t="shared" ref="G4:G6" si="0">E4/1440+F4</f>
        <v>45488.802083333328</v>
      </c>
    </row>
    <row r="5" spans="1:12" x14ac:dyDescent="0.25">
      <c r="A5" s="16" t="s">
        <v>101</v>
      </c>
      <c r="B5" s="27" t="s">
        <v>849</v>
      </c>
      <c r="C5">
        <v>30</v>
      </c>
      <c r="D5" t="s">
        <v>10</v>
      </c>
      <c r="E5">
        <v>60</v>
      </c>
      <c r="F5" s="27">
        <f>DATE(2024,7,15)+TIME(18,0,0)+TIME(0,30,0)</f>
        <v>45488.770833333336</v>
      </c>
      <c r="G5" s="27">
        <f t="shared" si="0"/>
        <v>45488.8125</v>
      </c>
    </row>
    <row r="6" spans="1:12" x14ac:dyDescent="0.25">
      <c r="A6" s="16" t="s">
        <v>102</v>
      </c>
      <c r="B6" s="27" t="s">
        <v>848</v>
      </c>
      <c r="C6">
        <v>70</v>
      </c>
      <c r="D6" t="s">
        <v>7</v>
      </c>
      <c r="E6">
        <v>120</v>
      </c>
      <c r="F6" s="27">
        <f>DATE(2024,7,15)+TIME(20,30,0)+TIME(0,30,0)</f>
        <v>45488.875</v>
      </c>
      <c r="G6" s="27">
        <f t="shared" si="0"/>
        <v>45488.958333333336</v>
      </c>
    </row>
    <row r="8" spans="1:12" x14ac:dyDescent="0.25">
      <c r="K8" s="31"/>
      <c r="L8" s="31"/>
    </row>
  </sheetData>
  <pageMargins left="0.7" right="0.7" top="0.75" bottom="0.75" header="0.3" footer="0.3"/>
  <pageSetup paperSize="9" orientation="portrait" verticalDpi="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B14" sqref="B14"/>
    </sheetView>
  </sheetViews>
  <sheetFormatPr defaultRowHeight="15" x14ac:dyDescent="0.25"/>
  <cols>
    <col min="1" max="1" width="23.85546875" customWidth="1"/>
    <col min="2" max="2" width="11" bestFit="1" customWidth="1"/>
  </cols>
  <sheetData>
    <row r="1" spans="1:5" x14ac:dyDescent="0.25">
      <c r="A1" t="s">
        <v>200</v>
      </c>
      <c r="B1" t="s">
        <v>34</v>
      </c>
      <c r="C1" t="s">
        <v>862</v>
      </c>
      <c r="D1" t="s">
        <v>863</v>
      </c>
      <c r="E1" t="s">
        <v>864</v>
      </c>
    </row>
    <row r="2" spans="1:5" x14ac:dyDescent="0.25">
      <c r="A2" t="s">
        <v>853</v>
      </c>
      <c r="B2">
        <v>1500</v>
      </c>
      <c r="C2">
        <v>999</v>
      </c>
      <c r="D2">
        <v>500</v>
      </c>
      <c r="E2">
        <v>400</v>
      </c>
    </row>
    <row r="3" spans="1:5" x14ac:dyDescent="0.25">
      <c r="A3" t="s">
        <v>772</v>
      </c>
      <c r="B3">
        <v>800</v>
      </c>
      <c r="C3">
        <v>1999</v>
      </c>
      <c r="D3">
        <v>300</v>
      </c>
      <c r="E3">
        <v>800</v>
      </c>
    </row>
    <row r="4" spans="1:5" x14ac:dyDescent="0.25">
      <c r="A4" t="s">
        <v>854</v>
      </c>
      <c r="B4">
        <v>500</v>
      </c>
      <c r="C4">
        <v>2999</v>
      </c>
      <c r="D4">
        <v>200</v>
      </c>
      <c r="E4">
        <v>1500</v>
      </c>
    </row>
    <row r="5" spans="1:5" x14ac:dyDescent="0.25">
      <c r="A5" t="s">
        <v>855</v>
      </c>
      <c r="B5">
        <v>400</v>
      </c>
      <c r="C5">
        <v>4999</v>
      </c>
      <c r="D5">
        <v>150</v>
      </c>
      <c r="E5">
        <v>2500</v>
      </c>
    </row>
    <row r="6" spans="1:5" x14ac:dyDescent="0.25">
      <c r="A6" t="s">
        <v>856</v>
      </c>
      <c r="B6">
        <v>300</v>
      </c>
      <c r="C6">
        <v>6999</v>
      </c>
      <c r="D6">
        <v>100</v>
      </c>
      <c r="E6">
        <v>3500</v>
      </c>
    </row>
    <row r="7" spans="1:5" x14ac:dyDescent="0.25">
      <c r="A7" t="s">
        <v>857</v>
      </c>
      <c r="B7">
        <v>2000</v>
      </c>
      <c r="C7">
        <v>299</v>
      </c>
      <c r="D7">
        <v>800</v>
      </c>
      <c r="E7">
        <v>100</v>
      </c>
    </row>
    <row r="8" spans="1:5" x14ac:dyDescent="0.25">
      <c r="A8" t="s">
        <v>858</v>
      </c>
      <c r="B8">
        <v>1200</v>
      </c>
      <c r="C8">
        <v>999</v>
      </c>
      <c r="D8">
        <v>400</v>
      </c>
      <c r="E8">
        <v>500</v>
      </c>
    </row>
    <row r="9" spans="1:5" x14ac:dyDescent="0.25">
      <c r="A9" t="s">
        <v>859</v>
      </c>
      <c r="B9">
        <v>2500</v>
      </c>
      <c r="C9">
        <v>199</v>
      </c>
      <c r="D9">
        <v>1000</v>
      </c>
      <c r="E9">
        <v>50</v>
      </c>
    </row>
    <row r="10" spans="1:5" x14ac:dyDescent="0.25">
      <c r="A10" t="s">
        <v>860</v>
      </c>
      <c r="B10">
        <v>1800</v>
      </c>
      <c r="C10">
        <v>2999</v>
      </c>
      <c r="D10">
        <v>600</v>
      </c>
      <c r="E10">
        <v>1200</v>
      </c>
    </row>
    <row r="11" spans="1:5" x14ac:dyDescent="0.25">
      <c r="A11" t="s">
        <v>861</v>
      </c>
      <c r="B11">
        <v>700</v>
      </c>
      <c r="C11">
        <v>1999</v>
      </c>
      <c r="D11">
        <v>300</v>
      </c>
      <c r="E11">
        <v>800</v>
      </c>
    </row>
    <row r="13" spans="1:5" x14ac:dyDescent="0.25">
      <c r="A13" t="s">
        <v>865</v>
      </c>
      <c r="B13">
        <f>B2*C2+B3*C3+B4*C4+B5*C5+B6*C6+B7*C7+B8*C8+B9*C9+B10*C10+B11*C11</f>
        <v>17788300</v>
      </c>
    </row>
    <row r="14" spans="1:5" x14ac:dyDescent="0.25">
      <c r="A14" t="s">
        <v>866</v>
      </c>
      <c r="D14">
        <f>B2*E2+B3*E3+B4*E4+B5*E5+B6*E6+B7*E7+B8*E8+B9*E9+B10*E10+B11*E11</f>
        <v>7685000</v>
      </c>
      <c r="E14">
        <f>B2+B3+B4+B5+B6+B7+B8+B10+B9+B11</f>
        <v>11700</v>
      </c>
    </row>
    <row r="15" spans="1:5" x14ac:dyDescent="0.25">
      <c r="A15" t="s">
        <v>867</v>
      </c>
      <c r="B15">
        <f>B13-(B2*E2+B3*E3+B4*E4+B5*E5+B6*E6+B7*E7+B8*E8+B9*E9+B10*E10+B11*E11)</f>
        <v>10103300</v>
      </c>
    </row>
    <row r="16" spans="1:5" x14ac:dyDescent="0.25">
      <c r="A16" t="s">
        <v>868</v>
      </c>
      <c r="B16" s="26">
        <f>B15/B13*100</f>
        <v>56.797445511937617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selection activeCell="B1" sqref="B1:B21"/>
    </sheetView>
  </sheetViews>
  <sheetFormatPr defaultRowHeight="15" x14ac:dyDescent="0.25"/>
  <cols>
    <col min="1" max="1" width="18.28515625" customWidth="1"/>
    <col min="2" max="2" width="10.7109375" bestFit="1" customWidth="1"/>
  </cols>
  <sheetData>
    <row r="1" spans="1:2" x14ac:dyDescent="0.25">
      <c r="A1" t="s">
        <v>876</v>
      </c>
      <c r="B1" t="s">
        <v>877</v>
      </c>
    </row>
    <row r="2" spans="1:2" x14ac:dyDescent="0.25">
      <c r="A2" t="s">
        <v>878</v>
      </c>
      <c r="B2" s="32">
        <v>37339804</v>
      </c>
    </row>
    <row r="3" spans="1:2" x14ac:dyDescent="0.25">
      <c r="A3" t="s">
        <v>879</v>
      </c>
      <c r="B3" s="32">
        <v>31181376</v>
      </c>
    </row>
    <row r="4" spans="1:2" x14ac:dyDescent="0.25">
      <c r="A4" t="s">
        <v>880</v>
      </c>
      <c r="B4" s="32">
        <v>27795702</v>
      </c>
    </row>
    <row r="5" spans="1:2" x14ac:dyDescent="0.25">
      <c r="A5" t="s">
        <v>881</v>
      </c>
      <c r="B5" s="32">
        <v>22237402</v>
      </c>
    </row>
    <row r="6" spans="1:2" x14ac:dyDescent="0.25">
      <c r="A6" t="s">
        <v>882</v>
      </c>
      <c r="B6" s="32">
        <v>21918936</v>
      </c>
    </row>
    <row r="7" spans="1:2" x14ac:dyDescent="0.25">
      <c r="A7" t="s">
        <v>883</v>
      </c>
      <c r="B7" s="32">
        <v>21741090</v>
      </c>
    </row>
    <row r="8" spans="1:2" x14ac:dyDescent="0.25">
      <c r="A8" t="s">
        <v>884</v>
      </c>
      <c r="B8" s="32">
        <v>21322750</v>
      </c>
    </row>
    <row r="9" spans="1:2" x14ac:dyDescent="0.25">
      <c r="A9" t="s">
        <v>885</v>
      </c>
      <c r="B9" s="32">
        <v>20896820</v>
      </c>
    </row>
    <row r="10" spans="1:2" x14ac:dyDescent="0.25">
      <c r="A10" t="s">
        <v>886</v>
      </c>
      <c r="B10" s="32">
        <v>20667656</v>
      </c>
    </row>
    <row r="11" spans="1:2" x14ac:dyDescent="0.25">
      <c r="A11" t="s">
        <v>887</v>
      </c>
      <c r="B11" s="32">
        <v>19110616</v>
      </c>
    </row>
    <row r="12" spans="1:2" x14ac:dyDescent="0.25">
      <c r="A12" t="s">
        <v>895</v>
      </c>
      <c r="B12" s="32">
        <v>16459472</v>
      </c>
    </row>
    <row r="13" spans="1:2" x14ac:dyDescent="0.25">
      <c r="A13" t="s">
        <v>896</v>
      </c>
      <c r="B13" s="32">
        <v>16382376</v>
      </c>
    </row>
    <row r="14" spans="1:2" x14ac:dyDescent="0.25">
      <c r="A14" t="s">
        <v>888</v>
      </c>
      <c r="B14" s="32">
        <v>15415197</v>
      </c>
    </row>
    <row r="15" spans="1:2" x14ac:dyDescent="0.25">
      <c r="A15" t="s">
        <v>889</v>
      </c>
      <c r="B15" s="32">
        <v>15257693</v>
      </c>
    </row>
    <row r="16" spans="1:2" x14ac:dyDescent="0.25">
      <c r="A16" t="s">
        <v>890</v>
      </c>
      <c r="B16" s="32">
        <v>14974073</v>
      </c>
    </row>
    <row r="17" spans="1:2" x14ac:dyDescent="0.25">
      <c r="A17" t="s">
        <v>897</v>
      </c>
      <c r="B17" s="32">
        <v>14970460</v>
      </c>
    </row>
    <row r="18" spans="1:2" x14ac:dyDescent="0.25">
      <c r="A18" t="s">
        <v>891</v>
      </c>
      <c r="B18" s="32">
        <v>14862111</v>
      </c>
    </row>
    <row r="19" spans="1:2" x14ac:dyDescent="0.25">
      <c r="A19" s="16" t="s">
        <v>892</v>
      </c>
      <c r="B19" s="32">
        <v>14158873</v>
      </c>
    </row>
    <row r="20" spans="1:2" x14ac:dyDescent="0.25">
      <c r="A20" s="16" t="s">
        <v>893</v>
      </c>
      <c r="B20" s="32">
        <v>13794450</v>
      </c>
    </row>
    <row r="21" spans="1:2" x14ac:dyDescent="0.25">
      <c r="A21" s="16" t="s">
        <v>894</v>
      </c>
      <c r="B21" s="32">
        <v>13635397</v>
      </c>
    </row>
    <row r="22" spans="1:2" x14ac:dyDescent="0.25">
      <c r="A22" s="16"/>
    </row>
    <row r="23" spans="1:2" x14ac:dyDescent="0.25">
      <c r="A23" s="16"/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sqref="A1:C21"/>
    </sheetView>
  </sheetViews>
  <sheetFormatPr defaultRowHeight="15" x14ac:dyDescent="0.25"/>
  <sheetData>
    <row r="1" spans="1:3" x14ac:dyDescent="0.25">
      <c r="A1" s="16" t="s">
        <v>570</v>
      </c>
      <c r="B1" t="s">
        <v>898</v>
      </c>
      <c r="C1" s="16" t="s">
        <v>877</v>
      </c>
    </row>
    <row r="2" spans="1:3" x14ac:dyDescent="0.25">
      <c r="A2" s="16" t="s">
        <v>919</v>
      </c>
      <c r="B2" t="s">
        <v>920</v>
      </c>
      <c r="C2" s="32">
        <v>15257693</v>
      </c>
    </row>
    <row r="3" spans="1:3" x14ac:dyDescent="0.25">
      <c r="A3" s="16" t="s">
        <v>908</v>
      </c>
      <c r="B3" t="s">
        <v>909</v>
      </c>
      <c r="C3" s="32">
        <v>21741090</v>
      </c>
    </row>
    <row r="4" spans="1:3" x14ac:dyDescent="0.25">
      <c r="A4" s="16" t="s">
        <v>904</v>
      </c>
      <c r="B4" t="s">
        <v>905</v>
      </c>
      <c r="C4" s="32">
        <v>22237402</v>
      </c>
    </row>
    <row r="5" spans="1:3" x14ac:dyDescent="0.25">
      <c r="A5" s="16" t="s">
        <v>921</v>
      </c>
      <c r="B5" t="s">
        <v>922</v>
      </c>
      <c r="C5" s="32">
        <v>14970460</v>
      </c>
    </row>
    <row r="6" spans="1:3" x14ac:dyDescent="0.25">
      <c r="A6" s="16" t="s">
        <v>912</v>
      </c>
      <c r="B6" t="s">
        <v>903</v>
      </c>
      <c r="C6" s="32">
        <v>20896820</v>
      </c>
    </row>
    <row r="7" spans="1:3" x14ac:dyDescent="0.25">
      <c r="A7" s="16" t="s">
        <v>916</v>
      </c>
      <c r="B7" t="s">
        <v>903</v>
      </c>
      <c r="C7" s="32">
        <v>16382376</v>
      </c>
    </row>
    <row r="8" spans="1:3" x14ac:dyDescent="0.25">
      <c r="A8" s="16" t="s">
        <v>928</v>
      </c>
      <c r="B8" t="s">
        <v>903</v>
      </c>
      <c r="C8" s="32">
        <v>13635397</v>
      </c>
    </row>
    <row r="9" spans="1:3" x14ac:dyDescent="0.25">
      <c r="A9" s="16" t="s">
        <v>902</v>
      </c>
      <c r="B9" t="s">
        <v>903</v>
      </c>
      <c r="C9" s="32">
        <v>27795702</v>
      </c>
    </row>
    <row r="10" spans="1:3" x14ac:dyDescent="0.25">
      <c r="A10" s="16" t="s">
        <v>927</v>
      </c>
      <c r="B10" t="s">
        <v>903</v>
      </c>
      <c r="C10" s="32">
        <v>13794450</v>
      </c>
    </row>
    <row r="11" spans="1:3" x14ac:dyDescent="0.25">
      <c r="A11" s="16" t="s">
        <v>910</v>
      </c>
      <c r="B11" t="s">
        <v>911</v>
      </c>
      <c r="C11" s="32">
        <v>21322750</v>
      </c>
    </row>
    <row r="12" spans="1:3" x14ac:dyDescent="0.25">
      <c r="A12" s="16" t="s">
        <v>300</v>
      </c>
      <c r="B12" t="s">
        <v>901</v>
      </c>
      <c r="C12" s="32">
        <v>31181376</v>
      </c>
    </row>
    <row r="13" spans="1:3" x14ac:dyDescent="0.25">
      <c r="A13" s="16" t="s">
        <v>572</v>
      </c>
      <c r="B13" t="s">
        <v>901</v>
      </c>
      <c r="C13" s="32">
        <v>14974073</v>
      </c>
    </row>
    <row r="14" spans="1:3" x14ac:dyDescent="0.25">
      <c r="A14" s="16" t="s">
        <v>299</v>
      </c>
      <c r="B14" t="s">
        <v>901</v>
      </c>
      <c r="C14" s="32">
        <v>20667656</v>
      </c>
    </row>
    <row r="15" spans="1:3" x14ac:dyDescent="0.25">
      <c r="A15" s="16" t="s">
        <v>913</v>
      </c>
      <c r="B15" t="s">
        <v>900</v>
      </c>
      <c r="C15" s="32">
        <v>19110616</v>
      </c>
    </row>
    <row r="16" spans="1:3" x14ac:dyDescent="0.25">
      <c r="A16" s="16" t="s">
        <v>899</v>
      </c>
      <c r="B16" t="s">
        <v>900</v>
      </c>
      <c r="C16" s="32">
        <v>37339804</v>
      </c>
    </row>
    <row r="17" spans="1:3" x14ac:dyDescent="0.25">
      <c r="A17" s="16" t="s">
        <v>906</v>
      </c>
      <c r="B17" t="s">
        <v>907</v>
      </c>
      <c r="C17" s="32">
        <v>21918936</v>
      </c>
    </row>
    <row r="18" spans="1:3" x14ac:dyDescent="0.25">
      <c r="A18" s="16" t="s">
        <v>923</v>
      </c>
      <c r="B18" t="s">
        <v>924</v>
      </c>
      <c r="C18" s="32">
        <v>14862111</v>
      </c>
    </row>
    <row r="19" spans="1:3" x14ac:dyDescent="0.25">
      <c r="A19" s="16" t="s">
        <v>925</v>
      </c>
      <c r="B19" t="s">
        <v>926</v>
      </c>
      <c r="C19" s="32">
        <v>14158873</v>
      </c>
    </row>
    <row r="20" spans="1:3" x14ac:dyDescent="0.25">
      <c r="A20" s="16" t="s">
        <v>914</v>
      </c>
      <c r="B20" t="s">
        <v>915</v>
      </c>
      <c r="C20" s="32">
        <v>16459472</v>
      </c>
    </row>
    <row r="21" spans="1:3" x14ac:dyDescent="0.25">
      <c r="A21" s="16" t="s">
        <v>917</v>
      </c>
      <c r="B21" t="s">
        <v>918</v>
      </c>
      <c r="C21" s="32">
        <v>15415197</v>
      </c>
    </row>
  </sheetData>
  <sortState ref="A2:C21">
    <sortCondition ref="B2:B21"/>
    <sortCondition ref="A2:A21"/>
  </sortState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S16" sqref="S16"/>
    </sheetView>
  </sheetViews>
  <sheetFormatPr defaultRowHeight="15" x14ac:dyDescent="0.25"/>
  <cols>
    <col min="1" max="1" width="15.5703125" customWidth="1"/>
    <col min="4" max="4" width="24.140625" customWidth="1"/>
  </cols>
  <sheetData>
    <row r="1" spans="1:6" x14ac:dyDescent="0.25">
      <c r="A1" t="s">
        <v>929</v>
      </c>
      <c r="B1" t="s">
        <v>930</v>
      </c>
      <c r="C1" t="s">
        <v>931</v>
      </c>
      <c r="D1" t="s">
        <v>932</v>
      </c>
      <c r="E1" t="s">
        <v>933</v>
      </c>
    </row>
    <row r="2" spans="1:6" x14ac:dyDescent="0.25">
      <c r="A2" t="s">
        <v>938</v>
      </c>
      <c r="B2" t="s">
        <v>934</v>
      </c>
      <c r="C2">
        <v>5</v>
      </c>
      <c r="D2">
        <v>5</v>
      </c>
      <c r="E2" t="str">
        <f>IF(OR(C2&gt;=3,D2&gt;5),"Priority"," ")</f>
        <v>Priority</v>
      </c>
    </row>
    <row r="3" spans="1:6" x14ac:dyDescent="0.25">
      <c r="A3" t="s">
        <v>939</v>
      </c>
      <c r="B3" t="s">
        <v>934</v>
      </c>
      <c r="C3">
        <v>4</v>
      </c>
      <c r="D3">
        <v>5</v>
      </c>
      <c r="E3" s="16" t="str">
        <f t="shared" ref="E3:E13" si="0">IF(OR(C3&gt;=3,D3&gt;5),"Priority"," ")</f>
        <v>Priority</v>
      </c>
    </row>
    <row r="4" spans="1:6" x14ac:dyDescent="0.25">
      <c r="A4" t="s">
        <v>940</v>
      </c>
      <c r="B4" t="s">
        <v>934</v>
      </c>
      <c r="C4">
        <v>2</v>
      </c>
      <c r="D4">
        <v>4</v>
      </c>
      <c r="E4" s="16" t="str">
        <f t="shared" si="0"/>
        <v xml:space="preserve"> </v>
      </c>
    </row>
    <row r="5" spans="1:6" x14ac:dyDescent="0.25">
      <c r="A5" t="s">
        <v>941</v>
      </c>
      <c r="B5" t="s">
        <v>935</v>
      </c>
      <c r="C5">
        <v>2</v>
      </c>
      <c r="D5">
        <v>4</v>
      </c>
      <c r="E5" s="16" t="str">
        <f t="shared" si="0"/>
        <v xml:space="preserve"> </v>
      </c>
    </row>
    <row r="6" spans="1:6" x14ac:dyDescent="0.25">
      <c r="A6" t="s">
        <v>942</v>
      </c>
      <c r="B6" t="s">
        <v>936</v>
      </c>
      <c r="C6">
        <v>3</v>
      </c>
      <c r="D6">
        <v>6</v>
      </c>
      <c r="E6" s="16" t="str">
        <f t="shared" si="0"/>
        <v>Priority</v>
      </c>
    </row>
    <row r="7" spans="1:6" x14ac:dyDescent="0.25">
      <c r="A7" t="s">
        <v>943</v>
      </c>
      <c r="B7" t="s">
        <v>936</v>
      </c>
      <c r="C7">
        <v>1</v>
      </c>
      <c r="D7">
        <v>3</v>
      </c>
      <c r="E7" s="16" t="str">
        <f t="shared" si="0"/>
        <v xml:space="preserve"> </v>
      </c>
    </row>
    <row r="8" spans="1:6" x14ac:dyDescent="0.25">
      <c r="A8" t="s">
        <v>944</v>
      </c>
      <c r="B8" t="s">
        <v>937</v>
      </c>
      <c r="C8">
        <v>2</v>
      </c>
      <c r="D8">
        <v>10</v>
      </c>
      <c r="E8" s="16" t="str">
        <f t="shared" si="0"/>
        <v>Priority</v>
      </c>
    </row>
    <row r="9" spans="1:6" x14ac:dyDescent="0.25">
      <c r="A9" t="s">
        <v>945</v>
      </c>
      <c r="B9" t="s">
        <v>937</v>
      </c>
      <c r="C9">
        <v>1</v>
      </c>
      <c r="D9">
        <v>0</v>
      </c>
      <c r="E9" s="16" t="str">
        <f t="shared" si="0"/>
        <v xml:space="preserve"> </v>
      </c>
    </row>
    <row r="10" spans="1:6" x14ac:dyDescent="0.25">
      <c r="A10" t="s">
        <v>946</v>
      </c>
      <c r="B10" t="s">
        <v>1</v>
      </c>
      <c r="C10">
        <v>1</v>
      </c>
      <c r="D10">
        <v>2</v>
      </c>
      <c r="E10" s="16" t="str">
        <f t="shared" si="0"/>
        <v xml:space="preserve"> </v>
      </c>
    </row>
    <row r="11" spans="1:6" x14ac:dyDescent="0.25">
      <c r="A11" t="s">
        <v>947</v>
      </c>
      <c r="B11" t="s">
        <v>1</v>
      </c>
      <c r="C11">
        <v>2</v>
      </c>
      <c r="D11">
        <v>8</v>
      </c>
      <c r="E11" s="16" t="str">
        <f t="shared" si="0"/>
        <v>Priority</v>
      </c>
    </row>
    <row r="12" spans="1:6" x14ac:dyDescent="0.25">
      <c r="A12" t="s">
        <v>948</v>
      </c>
      <c r="B12" t="s">
        <v>1</v>
      </c>
      <c r="C12">
        <v>3</v>
      </c>
      <c r="D12">
        <v>2</v>
      </c>
      <c r="E12" s="16" t="str">
        <f t="shared" si="0"/>
        <v>Priority</v>
      </c>
    </row>
    <row r="13" spans="1:6" x14ac:dyDescent="0.25">
      <c r="A13" t="s">
        <v>949</v>
      </c>
      <c r="B13" t="s">
        <v>1</v>
      </c>
      <c r="C13">
        <v>2</v>
      </c>
      <c r="D13">
        <v>0</v>
      </c>
      <c r="E13" s="16" t="str">
        <f t="shared" si="0"/>
        <v xml:space="preserve"> </v>
      </c>
    </row>
    <row r="15" spans="1:6" x14ac:dyDescent="0.25">
      <c r="A15" t="s">
        <v>930</v>
      </c>
      <c r="B15" t="s">
        <v>934</v>
      </c>
      <c r="C15" t="s">
        <v>936</v>
      </c>
      <c r="D15" t="s">
        <v>1</v>
      </c>
      <c r="E15" t="s">
        <v>937</v>
      </c>
      <c r="F15" t="s">
        <v>935</v>
      </c>
    </row>
    <row r="16" spans="1:6" x14ac:dyDescent="0.25">
      <c r="A16" t="s">
        <v>950</v>
      </c>
      <c r="B16">
        <f ca="1">SUMIF(B1:E13,B15,D2:D13)</f>
        <v>13</v>
      </c>
      <c r="C16" s="16">
        <f ca="1">SUMIF(B1:E13,C15,D2:D13)</f>
        <v>13</v>
      </c>
      <c r="D16" s="16">
        <f ca="1">SUMIF(B1:E13,D15,D2:D13)</f>
        <v>10</v>
      </c>
      <c r="E16" s="16">
        <f ca="1">SUMIF(B1:E13,E15,D2:D13)</f>
        <v>2</v>
      </c>
      <c r="F16" s="16">
        <f ca="1">SUMIF(B1:E13,E15,D2:D13)</f>
        <v>2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sqref="A1:C9"/>
    </sheetView>
  </sheetViews>
  <sheetFormatPr defaultRowHeight="15" x14ac:dyDescent="0.25"/>
  <sheetData>
    <row r="1" spans="1:3" x14ac:dyDescent="0.25">
      <c r="A1" t="s">
        <v>807</v>
      </c>
      <c r="B1" t="s">
        <v>951</v>
      </c>
      <c r="C1" t="s">
        <v>952</v>
      </c>
    </row>
    <row r="2" spans="1:3" x14ac:dyDescent="0.25">
      <c r="A2" t="s">
        <v>953</v>
      </c>
      <c r="B2" t="s">
        <v>961</v>
      </c>
      <c r="C2">
        <v>45</v>
      </c>
    </row>
    <row r="3" spans="1:3" x14ac:dyDescent="0.25">
      <c r="A3" t="s">
        <v>954</v>
      </c>
      <c r="B3" t="s">
        <v>961</v>
      </c>
      <c r="C3">
        <v>60</v>
      </c>
    </row>
    <row r="4" spans="1:3" x14ac:dyDescent="0.25">
      <c r="A4" t="s">
        <v>955</v>
      </c>
      <c r="B4" t="s">
        <v>961</v>
      </c>
      <c r="C4">
        <v>80</v>
      </c>
    </row>
    <row r="5" spans="1:3" x14ac:dyDescent="0.25">
      <c r="A5" t="s">
        <v>956</v>
      </c>
      <c r="B5" t="s">
        <v>962</v>
      </c>
      <c r="C5">
        <v>65</v>
      </c>
    </row>
    <row r="6" spans="1:3" x14ac:dyDescent="0.25">
      <c r="A6" t="s">
        <v>957</v>
      </c>
      <c r="B6" t="s">
        <v>962</v>
      </c>
      <c r="C6">
        <v>80</v>
      </c>
    </row>
    <row r="7" spans="1:3" s="16" customFormat="1" x14ac:dyDescent="0.25">
      <c r="A7" s="16" t="s">
        <v>963</v>
      </c>
      <c r="B7" s="16" t="s">
        <v>962</v>
      </c>
      <c r="C7" s="16">
        <v>100</v>
      </c>
    </row>
    <row r="8" spans="1:3" x14ac:dyDescent="0.25">
      <c r="A8" t="s">
        <v>958</v>
      </c>
      <c r="B8" t="s">
        <v>960</v>
      </c>
      <c r="C8">
        <v>43</v>
      </c>
    </row>
    <row r="9" spans="1:3" x14ac:dyDescent="0.25">
      <c r="A9" t="s">
        <v>959</v>
      </c>
      <c r="B9" t="s">
        <v>960</v>
      </c>
      <c r="C9">
        <v>58</v>
      </c>
    </row>
  </sheetData>
  <conditionalFormatting sqref="C2:C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sqref="A1:C10"/>
    </sheetView>
  </sheetViews>
  <sheetFormatPr defaultRowHeight="15" x14ac:dyDescent="0.25"/>
  <sheetData>
    <row r="1" spans="1:9" x14ac:dyDescent="0.25">
      <c r="A1" s="16" t="s">
        <v>807</v>
      </c>
      <c r="B1" s="16" t="s">
        <v>951</v>
      </c>
      <c r="C1" s="16" t="s">
        <v>952</v>
      </c>
      <c r="D1" t="s">
        <v>965</v>
      </c>
      <c r="E1" t="s">
        <v>966</v>
      </c>
      <c r="F1" t="s">
        <v>967</v>
      </c>
      <c r="G1" t="s">
        <v>968</v>
      </c>
      <c r="H1" t="s">
        <v>969</v>
      </c>
      <c r="I1" t="s">
        <v>970</v>
      </c>
    </row>
    <row r="2" spans="1:9" x14ac:dyDescent="0.25">
      <c r="A2" s="16" t="s">
        <v>953</v>
      </c>
      <c r="B2" s="16" t="s">
        <v>961</v>
      </c>
      <c r="C2" s="16">
        <v>45</v>
      </c>
      <c r="D2" t="b">
        <f>AND(B2="Fire",C2&gt;70)</f>
        <v>0</v>
      </c>
      <c r="E2" t="b">
        <f>OR(B2="Water",C2&gt;60)</f>
        <v>0</v>
      </c>
      <c r="F2">
        <v>318</v>
      </c>
      <c r="G2" t="str">
        <f>IF(B2="Grass","Yes","No")</f>
        <v>Yes</v>
      </c>
      <c r="H2" t="str">
        <f>IF(F2&gt;500,"Yes","No")</f>
        <v>No</v>
      </c>
      <c r="I2" t="str">
        <f>IF(C2&gt;90,"Fast",IF(C2&gt;50,"Medium",IF(C2&lt;=50,"Slow")))</f>
        <v>Slow</v>
      </c>
    </row>
    <row r="3" spans="1:9" x14ac:dyDescent="0.25">
      <c r="A3" s="16" t="s">
        <v>954</v>
      </c>
      <c r="B3" s="16" t="s">
        <v>961</v>
      </c>
      <c r="C3" s="16">
        <v>60</v>
      </c>
      <c r="D3" s="16" t="b">
        <f t="shared" ref="D3:D10" si="0">AND(B3="Fire",C3&gt;70)</f>
        <v>0</v>
      </c>
      <c r="E3" s="16" t="b">
        <f t="shared" ref="E3:E10" si="1">OR(B3="Water",C3&gt;60)</f>
        <v>0</v>
      </c>
      <c r="F3">
        <v>405</v>
      </c>
      <c r="G3" s="16" t="str">
        <f t="shared" ref="G3:G10" si="2">IF(B3="Grass","Yes","No")</f>
        <v>Yes</v>
      </c>
      <c r="H3" s="16" t="str">
        <f t="shared" ref="H3:H10" si="3">IF(F3&gt;500,"Yes","No")</f>
        <v>No</v>
      </c>
      <c r="I3" s="16" t="str">
        <f t="shared" ref="I3:I10" si="4">IF(C3&gt;90,"Fast",IF(C3&gt;50,"Medium",IF(C3&lt;=50,"Slow")))</f>
        <v>Medium</v>
      </c>
    </row>
    <row r="4" spans="1:9" x14ac:dyDescent="0.25">
      <c r="A4" s="16" t="s">
        <v>955</v>
      </c>
      <c r="B4" s="16" t="s">
        <v>961</v>
      </c>
      <c r="C4" s="16">
        <v>80</v>
      </c>
      <c r="D4" s="16" t="b">
        <f t="shared" si="0"/>
        <v>0</v>
      </c>
      <c r="E4" s="16" t="b">
        <f t="shared" si="1"/>
        <v>1</v>
      </c>
      <c r="F4">
        <v>525</v>
      </c>
      <c r="G4" s="16" t="str">
        <f t="shared" si="2"/>
        <v>Yes</v>
      </c>
      <c r="H4" s="16" t="str">
        <f t="shared" si="3"/>
        <v>Yes</v>
      </c>
      <c r="I4" s="16" t="str">
        <f t="shared" si="4"/>
        <v>Medium</v>
      </c>
    </row>
    <row r="5" spans="1:9" x14ac:dyDescent="0.25">
      <c r="A5" s="16" t="s">
        <v>956</v>
      </c>
      <c r="B5" s="16" t="s">
        <v>962</v>
      </c>
      <c r="C5" s="16">
        <v>65</v>
      </c>
      <c r="D5" s="16" t="b">
        <f t="shared" si="0"/>
        <v>0</v>
      </c>
      <c r="E5" s="16" t="b">
        <f t="shared" si="1"/>
        <v>1</v>
      </c>
      <c r="F5">
        <v>309</v>
      </c>
      <c r="G5" s="16" t="str">
        <f t="shared" si="2"/>
        <v>No</v>
      </c>
      <c r="H5" s="16" t="str">
        <f t="shared" si="3"/>
        <v>No</v>
      </c>
      <c r="I5" s="16" t="str">
        <f t="shared" si="4"/>
        <v>Medium</v>
      </c>
    </row>
    <row r="6" spans="1:9" x14ac:dyDescent="0.25">
      <c r="A6" s="16" t="s">
        <v>957</v>
      </c>
      <c r="B6" s="16" t="s">
        <v>962</v>
      </c>
      <c r="C6" s="16">
        <v>80</v>
      </c>
      <c r="D6" s="16" t="b">
        <f t="shared" si="0"/>
        <v>1</v>
      </c>
      <c r="E6" s="16" t="b">
        <f t="shared" si="1"/>
        <v>1</v>
      </c>
      <c r="F6">
        <v>405</v>
      </c>
      <c r="G6" s="16" t="str">
        <f t="shared" si="2"/>
        <v>No</v>
      </c>
      <c r="H6" s="16" t="str">
        <f t="shared" si="3"/>
        <v>No</v>
      </c>
      <c r="I6" s="16" t="str">
        <f t="shared" si="4"/>
        <v>Medium</v>
      </c>
    </row>
    <row r="7" spans="1:9" x14ac:dyDescent="0.25">
      <c r="A7" s="16" t="s">
        <v>963</v>
      </c>
      <c r="B7" s="16" t="s">
        <v>962</v>
      </c>
      <c r="C7" s="16">
        <v>100</v>
      </c>
      <c r="D7" s="16" t="b">
        <f t="shared" si="0"/>
        <v>1</v>
      </c>
      <c r="E7" s="16" t="b">
        <f t="shared" si="1"/>
        <v>1</v>
      </c>
      <c r="F7">
        <v>534</v>
      </c>
      <c r="G7" s="16" t="str">
        <f t="shared" si="2"/>
        <v>No</v>
      </c>
      <c r="H7" s="16" t="str">
        <f t="shared" si="3"/>
        <v>Yes</v>
      </c>
      <c r="I7" s="16" t="str">
        <f t="shared" si="4"/>
        <v>Fast</v>
      </c>
    </row>
    <row r="8" spans="1:9" x14ac:dyDescent="0.25">
      <c r="A8" s="16" t="s">
        <v>958</v>
      </c>
      <c r="B8" s="16" t="s">
        <v>960</v>
      </c>
      <c r="C8" s="16">
        <v>43</v>
      </c>
      <c r="D8" s="16" t="b">
        <f t="shared" si="0"/>
        <v>0</v>
      </c>
      <c r="E8" s="16" t="b">
        <f t="shared" si="1"/>
        <v>1</v>
      </c>
      <c r="F8">
        <v>314</v>
      </c>
      <c r="G8" s="16" t="str">
        <f t="shared" si="2"/>
        <v>No</v>
      </c>
      <c r="H8" s="16" t="str">
        <f t="shared" si="3"/>
        <v>No</v>
      </c>
      <c r="I8" s="16" t="str">
        <f t="shared" si="4"/>
        <v>Slow</v>
      </c>
    </row>
    <row r="9" spans="1:9" x14ac:dyDescent="0.25">
      <c r="A9" s="16" t="s">
        <v>959</v>
      </c>
      <c r="B9" s="16" t="s">
        <v>960</v>
      </c>
      <c r="C9" s="16">
        <v>58</v>
      </c>
      <c r="D9" s="16" t="b">
        <f t="shared" si="0"/>
        <v>0</v>
      </c>
      <c r="E9" s="16" t="b">
        <f t="shared" si="1"/>
        <v>1</v>
      </c>
      <c r="F9">
        <v>405</v>
      </c>
      <c r="G9" s="16" t="str">
        <f t="shared" si="2"/>
        <v>No</v>
      </c>
      <c r="H9" s="16" t="str">
        <f t="shared" si="3"/>
        <v>No</v>
      </c>
      <c r="I9" s="16" t="str">
        <f t="shared" si="4"/>
        <v>Medium</v>
      </c>
    </row>
    <row r="10" spans="1:9" x14ac:dyDescent="0.25">
      <c r="A10" t="s">
        <v>964</v>
      </c>
      <c r="B10" t="s">
        <v>960</v>
      </c>
      <c r="C10">
        <v>78</v>
      </c>
      <c r="D10" s="16" t="b">
        <f t="shared" si="0"/>
        <v>0</v>
      </c>
      <c r="E10" s="16" t="b">
        <f t="shared" si="1"/>
        <v>1</v>
      </c>
      <c r="F10">
        <v>530</v>
      </c>
      <c r="G10" s="16" t="str">
        <f t="shared" si="2"/>
        <v>No</v>
      </c>
      <c r="H10" s="16" t="str">
        <f t="shared" si="3"/>
        <v>Yes</v>
      </c>
      <c r="I10" s="16" t="str">
        <f t="shared" si="4"/>
        <v>Medium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activeCell="B6" sqref="B6"/>
    </sheetView>
  </sheetViews>
  <sheetFormatPr defaultRowHeight="15" x14ac:dyDescent="0.25"/>
  <sheetData>
    <row r="1" spans="1:11" x14ac:dyDescent="0.25">
      <c r="A1" t="s">
        <v>514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971</v>
      </c>
      <c r="B2">
        <v>10</v>
      </c>
      <c r="C2">
        <v>12</v>
      </c>
      <c r="D2">
        <v>16</v>
      </c>
      <c r="E2">
        <v>20</v>
      </c>
      <c r="F2">
        <v>28</v>
      </c>
      <c r="G2">
        <v>50</v>
      </c>
      <c r="H2">
        <v>80</v>
      </c>
      <c r="I2">
        <v>140</v>
      </c>
      <c r="J2">
        <v>200</v>
      </c>
      <c r="K2">
        <v>250</v>
      </c>
    </row>
    <row r="5" spans="1:11" x14ac:dyDescent="0.25">
      <c r="A5" t="s">
        <v>972</v>
      </c>
      <c r="B5" s="28">
        <v>0.1</v>
      </c>
      <c r="D5" t="s">
        <v>973</v>
      </c>
      <c r="E5" s="33">
        <f>NPV(B5,A2:K2)</f>
        <v>377.86809265258063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Views>
    <sheetView workbookViewId="0">
      <selection activeCell="K12" sqref="K12"/>
    </sheetView>
  </sheetViews>
  <sheetFormatPr defaultRowHeight="15" x14ac:dyDescent="0.25"/>
  <cols>
    <col min="1" max="1" width="9.140625" style="16"/>
  </cols>
  <sheetData>
    <row r="1" spans="1:23" x14ac:dyDescent="0.25">
      <c r="A1" s="16" t="s">
        <v>991</v>
      </c>
      <c r="B1" s="16" t="s">
        <v>807</v>
      </c>
      <c r="C1" s="16" t="s">
        <v>951</v>
      </c>
      <c r="D1" t="s">
        <v>987</v>
      </c>
      <c r="E1" t="s">
        <v>967</v>
      </c>
    </row>
    <row r="2" spans="1:23" x14ac:dyDescent="0.25">
      <c r="A2" s="16">
        <v>1</v>
      </c>
      <c r="B2" s="16" t="s">
        <v>953</v>
      </c>
      <c r="C2" s="16" t="s">
        <v>961</v>
      </c>
      <c r="D2" t="s">
        <v>988</v>
      </c>
      <c r="E2">
        <v>318</v>
      </c>
    </row>
    <row r="3" spans="1:23" x14ac:dyDescent="0.25">
      <c r="A3" s="16">
        <v>2</v>
      </c>
      <c r="B3" s="16" t="s">
        <v>954</v>
      </c>
      <c r="C3" s="16" t="s">
        <v>961</v>
      </c>
      <c r="D3" t="s">
        <v>988</v>
      </c>
      <c r="E3">
        <v>405</v>
      </c>
      <c r="G3" t="s">
        <v>990</v>
      </c>
      <c r="K3">
        <v>4</v>
      </c>
      <c r="L3">
        <v>7</v>
      </c>
      <c r="M3">
        <v>8</v>
      </c>
      <c r="N3">
        <v>13</v>
      </c>
      <c r="O3">
        <v>14</v>
      </c>
      <c r="P3">
        <v>16</v>
      </c>
      <c r="Q3">
        <v>18</v>
      </c>
      <c r="R3">
        <v>19</v>
      </c>
      <c r="S3">
        <v>12</v>
      </c>
      <c r="T3">
        <v>2</v>
      </c>
      <c r="U3">
        <v>3</v>
      </c>
      <c r="V3">
        <v>4</v>
      </c>
      <c r="W3">
        <v>9</v>
      </c>
    </row>
    <row r="4" spans="1:23" x14ac:dyDescent="0.25">
      <c r="A4" s="16">
        <v>3</v>
      </c>
      <c r="B4" s="16" t="s">
        <v>955</v>
      </c>
      <c r="C4" s="16" t="s">
        <v>961</v>
      </c>
      <c r="D4" t="s">
        <v>988</v>
      </c>
      <c r="E4">
        <v>525</v>
      </c>
      <c r="G4" t="s">
        <v>807</v>
      </c>
      <c r="H4" t="s">
        <v>953</v>
      </c>
      <c r="I4" t="s">
        <v>958</v>
      </c>
      <c r="J4" t="s">
        <v>984</v>
      </c>
      <c r="K4" t="str">
        <f>VLOOKUP(K3,A1:E21,2,TRUE)</f>
        <v>Charmander</v>
      </c>
      <c r="L4" t="str">
        <f>VLOOKUP(L3,A1:E21,2,TRUE)</f>
        <v>Squirtle</v>
      </c>
      <c r="M4" t="str">
        <f>VLOOKUP(M3,A1:E21,2,TRUE)</f>
        <v>Wartotle</v>
      </c>
      <c r="N4" t="str">
        <f>VLOOKUP(N3,A1:E21,2,FALSE)</f>
        <v>Weedle</v>
      </c>
      <c r="O4" t="str">
        <f>VLOOKUP(O3,A1:E21,2,FALSE)</f>
        <v>Kakuna</v>
      </c>
      <c r="P4" s="16" t="str">
        <f>VLOOKUP(P3,A1:E21,2,TRUE)</f>
        <v>Pidgey</v>
      </c>
      <c r="Q4" s="16" t="str">
        <f>VLOOKUP(Q3,A1:E21,2,TRUE)</f>
        <v>Pidgeot</v>
      </c>
      <c r="R4" s="16" t="str">
        <f>VLOOKUP(R3,A1:E21,2,TRUE)</f>
        <v>Rattata</v>
      </c>
      <c r="S4" t="str">
        <f>VLOOKUP(S3,A1:E21,2,FALSE)</f>
        <v>Butterfree</v>
      </c>
      <c r="T4" t="str">
        <f>VLOOKUP(T3,A1:E21,2,TRUE)</f>
        <v>Ivysaur</v>
      </c>
      <c r="U4" t="str">
        <f>VLOOKUP(U3,A1:E21,2,TRUE)</f>
        <v>Venusaur</v>
      </c>
      <c r="V4" t="str">
        <f>VLOOKUP(V3,A1:E21,2,TRUE)</f>
        <v>Charmander</v>
      </c>
      <c r="W4" t="str">
        <f>VLOOKUP(W3,A1:E21,2,TRUE)</f>
        <v>Blastoise</v>
      </c>
    </row>
    <row r="5" spans="1:23" x14ac:dyDescent="0.25">
      <c r="A5" s="16">
        <v>4</v>
      </c>
      <c r="B5" s="16" t="s">
        <v>956</v>
      </c>
      <c r="C5" s="16" t="s">
        <v>962</v>
      </c>
      <c r="E5">
        <v>309</v>
      </c>
      <c r="G5" t="s">
        <v>746</v>
      </c>
      <c r="H5">
        <f>VLOOKUP(H4,B1:E21,4,FALSE)</f>
        <v>318</v>
      </c>
      <c r="I5">
        <f>VLOOKUP(I4,B1:E21,4,FALSE)</f>
        <v>314</v>
      </c>
      <c r="J5">
        <f>VLOOKUP(J4,B1:E21,4,FALSE)</f>
        <v>253</v>
      </c>
      <c r="K5">
        <f>VLOOKUP(K4,B1:E21,4,FALSE)</f>
        <v>309</v>
      </c>
      <c r="L5">
        <f>VLOOKUP(L4,B1:E21,4,FALSE)</f>
        <v>314</v>
      </c>
      <c r="M5">
        <f>VLOOKUP(M4,B1:E21,4,FALSE)</f>
        <v>405</v>
      </c>
      <c r="N5">
        <f>VLOOKUP(N4,B1:E21,4,FALSE)</f>
        <v>195</v>
      </c>
      <c r="O5">
        <f>VLOOKUP(O4,B1:E21,4,FALSE)</f>
        <v>205</v>
      </c>
      <c r="P5">
        <f>VLOOKUP(P4,B1:E21,4,FALSE)</f>
        <v>251</v>
      </c>
      <c r="Q5" s="16">
        <f>VLOOKUP(Q4,B1:E21,4,FALSE)</f>
        <v>479</v>
      </c>
      <c r="R5" s="16">
        <f>VLOOKUP(R4,B1:E21,4,FALSE)</f>
        <v>253</v>
      </c>
      <c r="S5">
        <f>VLOOKUP(S4,B1:E21,4,FALSE)</f>
        <v>395</v>
      </c>
      <c r="T5">
        <f>VLOOKUP(T4,B1:E21,4,FALSE)</f>
        <v>405</v>
      </c>
      <c r="U5">
        <f>VLOOKUP(U4,B1:E21,4,FALSE)</f>
        <v>525</v>
      </c>
      <c r="V5">
        <f>VLOOKUP(V4,B1:E21,4,FALSE)</f>
        <v>309</v>
      </c>
      <c r="W5">
        <f>VLOOKUP(W4,B1:E21,4,FALSE)</f>
        <v>530</v>
      </c>
    </row>
    <row r="6" spans="1:23" x14ac:dyDescent="0.25">
      <c r="A6" s="16">
        <v>5</v>
      </c>
      <c r="B6" s="16" t="s">
        <v>957</v>
      </c>
      <c r="C6" s="16" t="s">
        <v>962</v>
      </c>
      <c r="E6">
        <v>405</v>
      </c>
      <c r="G6" t="s">
        <v>951</v>
      </c>
      <c r="H6" t="str">
        <f>VLOOKUP(H4,B1:E21,2,FALSE)</f>
        <v>Grass</v>
      </c>
      <c r="I6" t="str">
        <f>VLOOKUP(I4,B1:E21,2,FALSE)</f>
        <v>Water</v>
      </c>
      <c r="J6" t="str">
        <f>VLOOKUP(J4,B1:E21,2,FALSE)</f>
        <v>Normal</v>
      </c>
      <c r="K6" t="str">
        <f>VLOOKUP(K4,B1:E21,2,FALSE)</f>
        <v>Fire</v>
      </c>
      <c r="L6" t="str">
        <f>VLOOKUP(L4,B1:E21,2,FALSE)</f>
        <v>Water</v>
      </c>
      <c r="M6" t="str">
        <f>VLOOKUP(M4,B1:E21,2,FALSE)</f>
        <v>Water</v>
      </c>
      <c r="N6" t="str">
        <f>VLOOKUP(N4,B1:E21,2,FALSE)</f>
        <v>Bug</v>
      </c>
      <c r="O6" t="str">
        <f>VLOOKUP(O4,B1:E21,2,FALSE)</f>
        <v>Bug</v>
      </c>
      <c r="P6" t="str">
        <f>VLOOKUP(P4,B1:E21,2,FALSE)</f>
        <v>Normal</v>
      </c>
      <c r="Q6" t="str">
        <f>VLOOKUP(Q4,B1:E21,2,FALSE)</f>
        <v>Normal</v>
      </c>
      <c r="R6" t="str">
        <f>VLOOKUP(R4,B1:E21,2,FALSE)</f>
        <v>Normal</v>
      </c>
      <c r="S6" t="str">
        <f>VLOOKUP(S3,A1:E21,3,TRUE)</f>
        <v>Bug</v>
      </c>
      <c r="T6" t="str">
        <f>VLOOKUP(T3,A1:E21,2,TRUE)</f>
        <v>Ivysaur</v>
      </c>
      <c r="U6" t="str">
        <f>VLOOKUP(U3,A1:E21,3,TRUE)</f>
        <v>Grass</v>
      </c>
      <c r="V6" t="str">
        <f>VLOOKUP(V3,A1:E21,3,TRUE)</f>
        <v>Fire</v>
      </c>
      <c r="W6" t="str">
        <f>VLOOKUP(W3,A1:E21,3,TRUE)</f>
        <v>Water</v>
      </c>
    </row>
    <row r="7" spans="1:23" x14ac:dyDescent="0.25">
      <c r="A7" s="16">
        <v>6</v>
      </c>
      <c r="B7" s="16" t="s">
        <v>963</v>
      </c>
      <c r="C7" s="16" t="s">
        <v>962</v>
      </c>
      <c r="D7" t="s">
        <v>989</v>
      </c>
      <c r="E7">
        <v>534</v>
      </c>
    </row>
    <row r="8" spans="1:23" x14ac:dyDescent="0.25">
      <c r="A8" s="16">
        <v>7</v>
      </c>
      <c r="B8" s="16" t="s">
        <v>958</v>
      </c>
      <c r="C8" s="16" t="s">
        <v>960</v>
      </c>
      <c r="E8">
        <v>314</v>
      </c>
    </row>
    <row r="9" spans="1:23" x14ac:dyDescent="0.25">
      <c r="A9" s="16">
        <v>8</v>
      </c>
      <c r="B9" s="16" t="s">
        <v>959</v>
      </c>
      <c r="C9" s="16" t="s">
        <v>960</v>
      </c>
      <c r="E9">
        <v>405</v>
      </c>
    </row>
    <row r="10" spans="1:23" x14ac:dyDescent="0.25">
      <c r="A10" s="16">
        <v>9</v>
      </c>
      <c r="B10" s="16" t="s">
        <v>964</v>
      </c>
      <c r="C10" s="16" t="s">
        <v>960</v>
      </c>
      <c r="E10">
        <v>530</v>
      </c>
    </row>
    <row r="11" spans="1:23" x14ac:dyDescent="0.25">
      <c r="A11" s="16">
        <v>10</v>
      </c>
      <c r="B11" t="s">
        <v>974</v>
      </c>
      <c r="C11" t="s">
        <v>985</v>
      </c>
      <c r="E11">
        <v>195</v>
      </c>
      <c r="J11" t="s">
        <v>995</v>
      </c>
      <c r="K11">
        <f>_xlfn.STDEV.P(E2:E23)</f>
        <v>108.67283526239177</v>
      </c>
    </row>
    <row r="12" spans="1:23" x14ac:dyDescent="0.25">
      <c r="A12" s="16">
        <v>11</v>
      </c>
      <c r="B12" t="s">
        <v>975</v>
      </c>
      <c r="C12" t="s">
        <v>985</v>
      </c>
      <c r="E12">
        <v>205</v>
      </c>
      <c r="J12" s="16" t="s">
        <v>996</v>
      </c>
      <c r="K12">
        <f>_xlfn.STDEV.S(E2:E23)</f>
        <v>111.23019304197874</v>
      </c>
    </row>
    <row r="13" spans="1:23" x14ac:dyDescent="0.25">
      <c r="A13" s="16">
        <v>12</v>
      </c>
      <c r="B13" t="s">
        <v>976</v>
      </c>
      <c r="C13" t="s">
        <v>985</v>
      </c>
      <c r="D13" t="s">
        <v>989</v>
      </c>
      <c r="E13">
        <v>395</v>
      </c>
    </row>
    <row r="14" spans="1:23" x14ac:dyDescent="0.25">
      <c r="A14" s="16">
        <v>13</v>
      </c>
      <c r="B14" t="s">
        <v>977</v>
      </c>
      <c r="C14" t="s">
        <v>985</v>
      </c>
      <c r="D14" t="s">
        <v>988</v>
      </c>
      <c r="E14">
        <v>195</v>
      </c>
    </row>
    <row r="15" spans="1:23" x14ac:dyDescent="0.25">
      <c r="A15" s="16">
        <v>14</v>
      </c>
      <c r="B15" t="s">
        <v>978</v>
      </c>
      <c r="C15" t="s">
        <v>985</v>
      </c>
      <c r="D15" t="s">
        <v>988</v>
      </c>
      <c r="E15">
        <v>205</v>
      </c>
    </row>
    <row r="16" spans="1:23" x14ac:dyDescent="0.25">
      <c r="A16" s="16">
        <v>15</v>
      </c>
      <c r="B16" t="s">
        <v>979</v>
      </c>
      <c r="C16" t="s">
        <v>985</v>
      </c>
      <c r="D16" t="s">
        <v>988</v>
      </c>
      <c r="E16">
        <v>395</v>
      </c>
    </row>
    <row r="17" spans="1:5" x14ac:dyDescent="0.25">
      <c r="A17" s="16">
        <v>16</v>
      </c>
      <c r="B17" t="s">
        <v>980</v>
      </c>
      <c r="C17" t="s">
        <v>986</v>
      </c>
      <c r="D17" t="s">
        <v>989</v>
      </c>
      <c r="E17">
        <v>251</v>
      </c>
    </row>
    <row r="18" spans="1:5" x14ac:dyDescent="0.25">
      <c r="A18" s="16">
        <v>17</v>
      </c>
      <c r="B18" t="s">
        <v>981</v>
      </c>
      <c r="C18" t="s">
        <v>986</v>
      </c>
      <c r="D18" t="s">
        <v>989</v>
      </c>
      <c r="E18">
        <v>349</v>
      </c>
    </row>
    <row r="19" spans="1:5" x14ac:dyDescent="0.25">
      <c r="A19" s="16">
        <v>18</v>
      </c>
      <c r="B19" t="s">
        <v>982</v>
      </c>
      <c r="C19" t="s">
        <v>986</v>
      </c>
      <c r="D19" t="s">
        <v>989</v>
      </c>
      <c r="E19">
        <v>479</v>
      </c>
    </row>
    <row r="20" spans="1:5" x14ac:dyDescent="0.25">
      <c r="A20" s="16">
        <v>19</v>
      </c>
      <c r="B20" t="s">
        <v>984</v>
      </c>
      <c r="C20" t="s">
        <v>986</v>
      </c>
      <c r="E20">
        <v>253</v>
      </c>
    </row>
    <row r="21" spans="1:5" x14ac:dyDescent="0.25">
      <c r="A21" s="16">
        <v>20</v>
      </c>
      <c r="B21" t="s">
        <v>983</v>
      </c>
      <c r="C21" t="s">
        <v>986</v>
      </c>
      <c r="E21">
        <v>413</v>
      </c>
    </row>
    <row r="22" spans="1:5" x14ac:dyDescent="0.25">
      <c r="A22" s="16">
        <v>21</v>
      </c>
      <c r="B22" t="s">
        <v>993</v>
      </c>
      <c r="C22" t="s">
        <v>986</v>
      </c>
      <c r="D22" t="s">
        <v>989</v>
      </c>
      <c r="E22">
        <v>262</v>
      </c>
    </row>
    <row r="23" spans="1:5" x14ac:dyDescent="0.25">
      <c r="A23" s="16">
        <v>22</v>
      </c>
      <c r="B23" t="s">
        <v>994</v>
      </c>
      <c r="C23" t="s">
        <v>986</v>
      </c>
      <c r="D23" t="s">
        <v>989</v>
      </c>
      <c r="E23">
        <v>442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D5" sqref="D5"/>
    </sheetView>
  </sheetViews>
  <sheetFormatPr defaultRowHeight="15" x14ac:dyDescent="0.25"/>
  <sheetData>
    <row r="1" spans="1:4" x14ac:dyDescent="0.25">
      <c r="A1" s="16" t="s">
        <v>807</v>
      </c>
      <c r="B1" s="16" t="s">
        <v>951</v>
      </c>
      <c r="C1" s="16" t="s">
        <v>952</v>
      </c>
      <c r="D1" t="s">
        <v>992</v>
      </c>
    </row>
    <row r="2" spans="1:4" x14ac:dyDescent="0.25">
      <c r="A2" s="16" t="s">
        <v>953</v>
      </c>
      <c r="B2" s="16" t="s">
        <v>961</v>
      </c>
      <c r="C2" s="16">
        <v>45</v>
      </c>
      <c r="D2" t="b">
        <f>_xlfn.XOR(B2="Fire",C2&lt;60)</f>
        <v>1</v>
      </c>
    </row>
    <row r="3" spans="1:4" x14ac:dyDescent="0.25">
      <c r="A3" s="16" t="s">
        <v>954</v>
      </c>
      <c r="B3" s="16" t="s">
        <v>961</v>
      </c>
      <c r="C3" s="16">
        <v>60</v>
      </c>
      <c r="D3" s="16" t="b">
        <f t="shared" ref="D3:D10" si="0">_xlfn.XOR(B3="Fire",C3&lt;60)</f>
        <v>0</v>
      </c>
    </row>
    <row r="4" spans="1:4" x14ac:dyDescent="0.25">
      <c r="A4" s="16" t="s">
        <v>955</v>
      </c>
      <c r="B4" s="16" t="s">
        <v>961</v>
      </c>
      <c r="C4" s="16">
        <v>80</v>
      </c>
      <c r="D4" s="16" t="b">
        <f t="shared" si="0"/>
        <v>0</v>
      </c>
    </row>
    <row r="5" spans="1:4" x14ac:dyDescent="0.25">
      <c r="A5" s="16" t="s">
        <v>956</v>
      </c>
      <c r="B5" s="16" t="s">
        <v>962</v>
      </c>
      <c r="C5" s="16">
        <v>65</v>
      </c>
      <c r="D5" s="16" t="b">
        <f t="shared" si="0"/>
        <v>1</v>
      </c>
    </row>
    <row r="6" spans="1:4" x14ac:dyDescent="0.25">
      <c r="A6" s="16" t="s">
        <v>957</v>
      </c>
      <c r="B6" s="16" t="s">
        <v>962</v>
      </c>
      <c r="C6" s="16">
        <v>80</v>
      </c>
      <c r="D6" s="16" t="b">
        <f t="shared" si="0"/>
        <v>1</v>
      </c>
    </row>
    <row r="7" spans="1:4" x14ac:dyDescent="0.25">
      <c r="A7" s="16" t="s">
        <v>963</v>
      </c>
      <c r="B7" s="16" t="s">
        <v>962</v>
      </c>
      <c r="C7" s="16">
        <v>100</v>
      </c>
      <c r="D7" s="16" t="b">
        <f t="shared" si="0"/>
        <v>1</v>
      </c>
    </row>
    <row r="8" spans="1:4" x14ac:dyDescent="0.25">
      <c r="A8" s="16" t="s">
        <v>958</v>
      </c>
      <c r="B8" s="16" t="s">
        <v>960</v>
      </c>
      <c r="C8" s="16">
        <v>43</v>
      </c>
      <c r="D8" s="16" t="b">
        <f t="shared" si="0"/>
        <v>1</v>
      </c>
    </row>
    <row r="9" spans="1:4" x14ac:dyDescent="0.25">
      <c r="A9" s="16" t="s">
        <v>959</v>
      </c>
      <c r="B9" s="16" t="s">
        <v>960</v>
      </c>
      <c r="C9" s="16">
        <v>58</v>
      </c>
      <c r="D9" s="16" t="b">
        <f t="shared" si="0"/>
        <v>1</v>
      </c>
    </row>
    <row r="10" spans="1:4" x14ac:dyDescent="0.25">
      <c r="A10" s="16" t="s">
        <v>964</v>
      </c>
      <c r="B10" s="16" t="s">
        <v>960</v>
      </c>
      <c r="C10" s="16">
        <v>78</v>
      </c>
      <c r="D10" s="16" t="b">
        <f t="shared" si="0"/>
        <v>0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workbookViewId="0">
      <selection activeCell="O23" sqref="O23"/>
    </sheetView>
  </sheetViews>
  <sheetFormatPr defaultRowHeight="15" x14ac:dyDescent="0.25"/>
  <cols>
    <col min="2" max="2" width="20" customWidth="1"/>
    <col min="13" max="13" width="12.140625" customWidth="1"/>
    <col min="18" max="18" width="11.5703125" customWidth="1"/>
  </cols>
  <sheetData>
    <row r="1" spans="1:18" x14ac:dyDescent="0.25">
      <c r="A1" t="s">
        <v>997</v>
      </c>
      <c r="B1" t="s">
        <v>998</v>
      </c>
      <c r="C1" t="s">
        <v>999</v>
      </c>
      <c r="D1" t="s">
        <v>1000</v>
      </c>
      <c r="E1" t="s">
        <v>1001</v>
      </c>
      <c r="F1" t="s">
        <v>1002</v>
      </c>
      <c r="G1" t="s">
        <v>1003</v>
      </c>
      <c r="H1" t="s">
        <v>967</v>
      </c>
      <c r="I1" t="s">
        <v>277</v>
      </c>
      <c r="J1" t="s">
        <v>293</v>
      </c>
      <c r="M1" t="s">
        <v>1019</v>
      </c>
      <c r="N1" t="s">
        <v>1020</v>
      </c>
      <c r="O1" t="s">
        <v>1021</v>
      </c>
      <c r="P1" t="s">
        <v>1022</v>
      </c>
      <c r="Q1" t="s">
        <v>1024</v>
      </c>
      <c r="R1" t="s">
        <v>1023</v>
      </c>
    </row>
    <row r="2" spans="1:18" x14ac:dyDescent="0.25">
      <c r="A2">
        <v>1</v>
      </c>
      <c r="B2" t="s">
        <v>1004</v>
      </c>
      <c r="C2">
        <v>20</v>
      </c>
      <c r="D2">
        <v>10</v>
      </c>
      <c r="E2">
        <v>14</v>
      </c>
      <c r="F2">
        <v>18</v>
      </c>
      <c r="G2">
        <v>15</v>
      </c>
      <c r="H2">
        <f>SUM(C2:G2)</f>
        <v>77</v>
      </c>
      <c r="I2">
        <f>AVERAGE(C2:G2)</f>
        <v>15.4</v>
      </c>
      <c r="J2" t="str">
        <f>IF(I2&gt;15,"A","B")</f>
        <v>A</v>
      </c>
      <c r="M2">
        <v>1</v>
      </c>
      <c r="N2" t="s">
        <v>1025</v>
      </c>
      <c r="O2">
        <v>20</v>
      </c>
      <c r="P2">
        <v>40000</v>
      </c>
      <c r="Q2">
        <f>O2*P2</f>
        <v>800000</v>
      </c>
      <c r="R2" t="str">
        <f>IF(Q2&gt;500000,"Expensive","Lets Buy it")</f>
        <v>Expensive</v>
      </c>
    </row>
    <row r="3" spans="1:18" x14ac:dyDescent="0.25">
      <c r="A3">
        <v>2</v>
      </c>
      <c r="B3" t="s">
        <v>1005</v>
      </c>
      <c r="C3">
        <v>21</v>
      </c>
      <c r="D3">
        <v>12</v>
      </c>
      <c r="E3">
        <v>14</v>
      </c>
      <c r="F3">
        <v>12</v>
      </c>
      <c r="G3">
        <v>18</v>
      </c>
      <c r="H3" s="16">
        <f t="shared" ref="H3:H11" si="0">SUM(C3:G3)</f>
        <v>77</v>
      </c>
      <c r="I3" s="16">
        <f t="shared" ref="I3:I11" si="1">AVERAGE(C3:G3)</f>
        <v>15.4</v>
      </c>
      <c r="J3" s="16" t="str">
        <f t="shared" ref="J3:J11" si="2">IF(I3&gt;15,"A","B")</f>
        <v>A</v>
      </c>
      <c r="M3" s="16">
        <v>2</v>
      </c>
      <c r="N3" t="s">
        <v>1026</v>
      </c>
      <c r="O3">
        <v>30</v>
      </c>
      <c r="P3">
        <v>20000</v>
      </c>
      <c r="Q3" s="16">
        <f t="shared" ref="Q3:Q11" si="3">O3*P3</f>
        <v>600000</v>
      </c>
      <c r="R3" s="16" t="str">
        <f t="shared" ref="R3:R11" si="4">IF(Q3&gt;500000,"Expensive","Lets Buy it")</f>
        <v>Expensive</v>
      </c>
    </row>
    <row r="4" spans="1:18" x14ac:dyDescent="0.25">
      <c r="A4" s="16">
        <v>3</v>
      </c>
      <c r="B4" t="s">
        <v>1006</v>
      </c>
      <c r="C4">
        <v>33</v>
      </c>
      <c r="D4">
        <v>15</v>
      </c>
      <c r="E4">
        <v>7</v>
      </c>
      <c r="F4">
        <v>14</v>
      </c>
      <c r="G4">
        <v>17</v>
      </c>
      <c r="H4" s="16">
        <f t="shared" si="0"/>
        <v>86</v>
      </c>
      <c r="I4" s="16">
        <f t="shared" si="1"/>
        <v>17.2</v>
      </c>
      <c r="J4" s="16" t="str">
        <f t="shared" si="2"/>
        <v>A</v>
      </c>
      <c r="M4" s="16">
        <v>3</v>
      </c>
      <c r="N4" t="s">
        <v>1027</v>
      </c>
      <c r="O4">
        <v>15</v>
      </c>
      <c r="P4">
        <v>10000</v>
      </c>
      <c r="Q4" s="16">
        <f t="shared" si="3"/>
        <v>150000</v>
      </c>
      <c r="R4" s="16" t="str">
        <f t="shared" si="4"/>
        <v>Lets Buy it</v>
      </c>
    </row>
    <row r="5" spans="1:18" x14ac:dyDescent="0.25">
      <c r="A5" s="16">
        <v>4</v>
      </c>
      <c r="B5" t="s">
        <v>1007</v>
      </c>
      <c r="C5">
        <v>15</v>
      </c>
      <c r="D5">
        <v>14</v>
      </c>
      <c r="E5">
        <v>8</v>
      </c>
      <c r="F5">
        <v>16</v>
      </c>
      <c r="G5">
        <v>20</v>
      </c>
      <c r="H5" s="16">
        <f t="shared" si="0"/>
        <v>73</v>
      </c>
      <c r="I5" s="16">
        <f t="shared" si="1"/>
        <v>14.6</v>
      </c>
      <c r="J5" s="16" t="str">
        <f t="shared" si="2"/>
        <v>B</v>
      </c>
      <c r="M5" s="16">
        <v>4</v>
      </c>
      <c r="N5" t="s">
        <v>1028</v>
      </c>
      <c r="O5">
        <v>14</v>
      </c>
      <c r="P5">
        <v>15000</v>
      </c>
      <c r="Q5" s="16">
        <f t="shared" si="3"/>
        <v>210000</v>
      </c>
      <c r="R5" s="16" t="str">
        <f t="shared" si="4"/>
        <v>Lets Buy it</v>
      </c>
    </row>
    <row r="6" spans="1:18" x14ac:dyDescent="0.25">
      <c r="A6" s="16">
        <v>5</v>
      </c>
      <c r="B6" t="s">
        <v>1008</v>
      </c>
      <c r="C6">
        <v>14</v>
      </c>
      <c r="D6">
        <v>17</v>
      </c>
      <c r="E6">
        <v>10</v>
      </c>
      <c r="F6">
        <v>13</v>
      </c>
      <c r="G6">
        <v>18</v>
      </c>
      <c r="H6" s="16">
        <f t="shared" si="0"/>
        <v>72</v>
      </c>
      <c r="I6" s="16">
        <f t="shared" si="1"/>
        <v>14.4</v>
      </c>
      <c r="J6" s="16" t="str">
        <f t="shared" si="2"/>
        <v>B</v>
      </c>
      <c r="M6" s="16">
        <v>5</v>
      </c>
      <c r="N6" t="s">
        <v>1029</v>
      </c>
      <c r="O6">
        <v>18</v>
      </c>
      <c r="P6">
        <v>20000</v>
      </c>
      <c r="Q6" s="16">
        <f t="shared" si="3"/>
        <v>360000</v>
      </c>
      <c r="R6" s="16" t="str">
        <f t="shared" si="4"/>
        <v>Lets Buy it</v>
      </c>
    </row>
    <row r="7" spans="1:18" x14ac:dyDescent="0.25">
      <c r="A7" s="16">
        <v>6</v>
      </c>
      <c r="B7" t="s">
        <v>1009</v>
      </c>
      <c r="C7">
        <v>16</v>
      </c>
      <c r="D7">
        <v>8</v>
      </c>
      <c r="E7">
        <v>20</v>
      </c>
      <c r="F7">
        <v>17</v>
      </c>
      <c r="G7">
        <v>15</v>
      </c>
      <c r="H7" s="16">
        <f t="shared" si="0"/>
        <v>76</v>
      </c>
      <c r="I7" s="16">
        <f t="shared" si="1"/>
        <v>15.2</v>
      </c>
      <c r="J7" s="16" t="str">
        <f t="shared" si="2"/>
        <v>A</v>
      </c>
      <c r="M7" s="16">
        <v>6</v>
      </c>
      <c r="N7" t="s">
        <v>1030</v>
      </c>
      <c r="O7">
        <v>17</v>
      </c>
      <c r="P7">
        <v>2000</v>
      </c>
      <c r="Q7" s="16">
        <f t="shared" si="3"/>
        <v>34000</v>
      </c>
      <c r="R7" s="16" t="str">
        <f t="shared" si="4"/>
        <v>Lets Buy it</v>
      </c>
    </row>
    <row r="8" spans="1:18" x14ac:dyDescent="0.25">
      <c r="A8" s="16">
        <v>7</v>
      </c>
      <c r="B8" t="s">
        <v>1010</v>
      </c>
      <c r="C8">
        <v>18</v>
      </c>
      <c r="D8">
        <v>19</v>
      </c>
      <c r="E8">
        <v>3</v>
      </c>
      <c r="F8">
        <v>10</v>
      </c>
      <c r="G8">
        <v>14</v>
      </c>
      <c r="H8" s="16">
        <f t="shared" si="0"/>
        <v>64</v>
      </c>
      <c r="I8" s="16">
        <f t="shared" si="1"/>
        <v>12.8</v>
      </c>
      <c r="J8" s="16" t="str">
        <f t="shared" si="2"/>
        <v>B</v>
      </c>
      <c r="M8" s="16">
        <v>7</v>
      </c>
      <c r="N8" t="s">
        <v>1031</v>
      </c>
      <c r="O8">
        <v>10</v>
      </c>
      <c r="P8">
        <v>25000</v>
      </c>
      <c r="Q8" s="16">
        <f t="shared" si="3"/>
        <v>250000</v>
      </c>
      <c r="R8" s="16" t="str">
        <f t="shared" si="4"/>
        <v>Lets Buy it</v>
      </c>
    </row>
    <row r="9" spans="1:18" x14ac:dyDescent="0.25">
      <c r="A9" s="16">
        <v>8</v>
      </c>
      <c r="B9" t="s">
        <v>1011</v>
      </c>
      <c r="C9">
        <v>19</v>
      </c>
      <c r="D9">
        <v>20</v>
      </c>
      <c r="E9">
        <v>7</v>
      </c>
      <c r="F9">
        <v>14</v>
      </c>
      <c r="G9">
        <v>18</v>
      </c>
      <c r="H9" s="16">
        <f t="shared" si="0"/>
        <v>78</v>
      </c>
      <c r="I9" s="16">
        <f t="shared" si="1"/>
        <v>15.6</v>
      </c>
      <c r="J9" s="16" t="str">
        <f t="shared" si="2"/>
        <v>A</v>
      </c>
      <c r="M9" s="16">
        <v>8</v>
      </c>
      <c r="N9" t="s">
        <v>1032</v>
      </c>
      <c r="O9">
        <v>5</v>
      </c>
      <c r="P9">
        <v>250</v>
      </c>
      <c r="Q9" s="16">
        <f t="shared" si="3"/>
        <v>1250</v>
      </c>
      <c r="R9" s="16" t="str">
        <f t="shared" si="4"/>
        <v>Lets Buy it</v>
      </c>
    </row>
    <row r="10" spans="1:18" x14ac:dyDescent="0.25">
      <c r="A10" s="16">
        <v>9</v>
      </c>
      <c r="B10" t="s">
        <v>1012</v>
      </c>
      <c r="C10">
        <v>22</v>
      </c>
      <c r="D10">
        <v>13</v>
      </c>
      <c r="E10">
        <v>8</v>
      </c>
      <c r="F10">
        <v>12</v>
      </c>
      <c r="G10">
        <v>19</v>
      </c>
      <c r="H10" s="16">
        <f t="shared" si="0"/>
        <v>74</v>
      </c>
      <c r="I10" s="16">
        <f t="shared" si="1"/>
        <v>14.8</v>
      </c>
      <c r="J10" s="16" t="str">
        <f t="shared" si="2"/>
        <v>B</v>
      </c>
      <c r="M10" s="16">
        <v>9</v>
      </c>
      <c r="N10" t="s">
        <v>1033</v>
      </c>
      <c r="O10">
        <v>25</v>
      </c>
      <c r="P10">
        <v>100</v>
      </c>
      <c r="Q10" s="16">
        <f t="shared" si="3"/>
        <v>2500</v>
      </c>
      <c r="R10" s="16" t="str">
        <f t="shared" si="4"/>
        <v>Lets Buy it</v>
      </c>
    </row>
    <row r="11" spans="1:18" x14ac:dyDescent="0.25">
      <c r="A11" s="16">
        <v>10</v>
      </c>
      <c r="B11" t="s">
        <v>1013</v>
      </c>
      <c r="C11">
        <v>26</v>
      </c>
      <c r="D11">
        <v>12</v>
      </c>
      <c r="E11">
        <v>10</v>
      </c>
      <c r="F11">
        <v>11</v>
      </c>
      <c r="G11">
        <v>27</v>
      </c>
      <c r="H11" s="16">
        <f t="shared" si="0"/>
        <v>86</v>
      </c>
      <c r="I11" s="16">
        <f t="shared" si="1"/>
        <v>17.2</v>
      </c>
      <c r="J11" s="16" t="str">
        <f t="shared" si="2"/>
        <v>A</v>
      </c>
      <c r="M11" s="16">
        <v>10</v>
      </c>
      <c r="N11" t="s">
        <v>1034</v>
      </c>
      <c r="O11">
        <v>30</v>
      </c>
      <c r="P11">
        <v>12000</v>
      </c>
      <c r="Q11" s="16">
        <f t="shared" si="3"/>
        <v>360000</v>
      </c>
      <c r="R11" s="16" t="str">
        <f t="shared" si="4"/>
        <v>Lets Buy it</v>
      </c>
    </row>
    <row r="12" spans="1:18" x14ac:dyDescent="0.25">
      <c r="A12" s="16"/>
      <c r="M12" s="16"/>
    </row>
    <row r="13" spans="1:18" x14ac:dyDescent="0.25">
      <c r="A13" s="16"/>
      <c r="B13" t="s">
        <v>1014</v>
      </c>
      <c r="C13">
        <f>COUNTIF(J2:J11,"A")</f>
        <v>6</v>
      </c>
    </row>
    <row r="14" spans="1:18" x14ac:dyDescent="0.25">
      <c r="B14" t="s">
        <v>1015</v>
      </c>
      <c r="C14" s="16">
        <f>COUNTIF(J2:J11,"B")</f>
        <v>4</v>
      </c>
      <c r="M14" t="s">
        <v>1035</v>
      </c>
      <c r="N14">
        <f>COUNTA(M2:M11)</f>
        <v>10</v>
      </c>
    </row>
    <row r="16" spans="1:18" x14ac:dyDescent="0.25">
      <c r="B16" t="s">
        <v>1016</v>
      </c>
      <c r="C16">
        <f>COUNTA(A1:A11)</f>
        <v>11</v>
      </c>
      <c r="M16" t="s">
        <v>1036</v>
      </c>
      <c r="P16">
        <f>SUMIF(N2:N11,N8,O2:O11)</f>
        <v>10</v>
      </c>
      <c r="Q16">
        <f>SUMIF(N2:N11,N8,P2:P11)</f>
        <v>25000</v>
      </c>
      <c r="R16">
        <f>SUMIF(N2:N11,N8,Q2:Q11)</f>
        <v>250000</v>
      </c>
    </row>
    <row r="18" spans="2:15" x14ac:dyDescent="0.25">
      <c r="B18" t="s">
        <v>1017</v>
      </c>
      <c r="F18">
        <f>SUMIF(B2:B11,B3,H2:H11)</f>
        <v>77</v>
      </c>
      <c r="G18">
        <f>SUMIF(B2:B11,B3,I2:I11)</f>
        <v>15.4</v>
      </c>
      <c r="H18">
        <f>SUMIF(B2:B11,B4,H2:H11)</f>
        <v>86</v>
      </c>
      <c r="I18">
        <f>AVERAGEIF(B2:B11,B4,I2:I11)</f>
        <v>17.2</v>
      </c>
      <c r="M18" t="s">
        <v>1038</v>
      </c>
      <c r="O18">
        <f>COUNTIF(O2:O11,"&gt;20")</f>
        <v>3</v>
      </c>
    </row>
    <row r="19" spans="2:15" x14ac:dyDescent="0.25">
      <c r="M19" t="s">
        <v>1037</v>
      </c>
      <c r="O19" s="16">
        <f>COUNTIF(O2:O11,"&lt;20")</f>
        <v>6</v>
      </c>
    </row>
    <row r="20" spans="2:15" x14ac:dyDescent="0.25">
      <c r="B20" t="s">
        <v>1018</v>
      </c>
      <c r="C20">
        <f>COUNTIFS(C2:C11,"&gt;20",D2:D11,"&lt;15")</f>
        <v>3</v>
      </c>
    </row>
    <row r="22" spans="2:15" x14ac:dyDescent="0.25">
      <c r="B22" t="s">
        <v>1039</v>
      </c>
      <c r="C22" t="s">
        <v>1040</v>
      </c>
      <c r="D22" t="s">
        <v>1041</v>
      </c>
      <c r="E22" t="s">
        <v>1042</v>
      </c>
      <c r="F22" t="s">
        <v>967</v>
      </c>
      <c r="G22" t="s">
        <v>277</v>
      </c>
      <c r="H22" t="s">
        <v>1023</v>
      </c>
    </row>
    <row r="23" spans="2:15" x14ac:dyDescent="0.25">
      <c r="B23" t="s">
        <v>1043</v>
      </c>
      <c r="C23">
        <v>20</v>
      </c>
      <c r="D23">
        <v>15</v>
      </c>
      <c r="E23">
        <v>20</v>
      </c>
      <c r="F23">
        <f>SUM(C23:E23)</f>
        <v>55</v>
      </c>
      <c r="G23">
        <f>AVERAGE(C23:E23)</f>
        <v>18.333333333333332</v>
      </c>
      <c r="H23" t="str">
        <f>IF(G23&gt;20,"A",IF(G23&gt;15,"B","C"))</f>
        <v>B</v>
      </c>
    </row>
    <row r="24" spans="2:15" x14ac:dyDescent="0.25">
      <c r="B24" t="s">
        <v>1044</v>
      </c>
      <c r="C24">
        <v>30</v>
      </c>
      <c r="D24">
        <v>12</v>
      </c>
      <c r="E24">
        <v>15</v>
      </c>
      <c r="F24" s="16">
        <f t="shared" ref="F24:F31" si="5">SUM(C24:E24)</f>
        <v>57</v>
      </c>
      <c r="G24" s="16">
        <f t="shared" ref="G24:G31" si="6">AVERAGE(C24:E24)</f>
        <v>19</v>
      </c>
      <c r="H24" s="16" t="str">
        <f t="shared" ref="H24:H31" si="7">IF(G24&gt;20,"A",IF(G24&gt;15,"B","C"))</f>
        <v>B</v>
      </c>
    </row>
    <row r="25" spans="2:15" x14ac:dyDescent="0.25">
      <c r="B25" t="s">
        <v>1045</v>
      </c>
      <c r="C25">
        <v>15</v>
      </c>
      <c r="D25">
        <v>14</v>
      </c>
      <c r="E25">
        <v>14</v>
      </c>
      <c r="F25" s="16">
        <f t="shared" si="5"/>
        <v>43</v>
      </c>
      <c r="G25" s="16">
        <f t="shared" si="6"/>
        <v>14.333333333333334</v>
      </c>
      <c r="H25" s="16" t="str">
        <f t="shared" si="7"/>
        <v>C</v>
      </c>
    </row>
    <row r="26" spans="2:15" x14ac:dyDescent="0.25">
      <c r="B26" t="s">
        <v>1046</v>
      </c>
      <c r="C26">
        <v>12</v>
      </c>
      <c r="D26">
        <v>17</v>
      </c>
      <c r="E26">
        <v>17</v>
      </c>
      <c r="F26" s="16">
        <f t="shared" si="5"/>
        <v>46</v>
      </c>
      <c r="G26" s="16">
        <f t="shared" si="6"/>
        <v>15.333333333333334</v>
      </c>
      <c r="H26" s="16" t="str">
        <f t="shared" si="7"/>
        <v>B</v>
      </c>
    </row>
    <row r="27" spans="2:15" x14ac:dyDescent="0.25">
      <c r="B27" t="s">
        <v>1047</v>
      </c>
      <c r="C27">
        <v>14</v>
      </c>
      <c r="D27">
        <v>18</v>
      </c>
      <c r="E27">
        <v>18</v>
      </c>
      <c r="F27" s="16">
        <f t="shared" si="5"/>
        <v>50</v>
      </c>
      <c r="G27" s="16">
        <f t="shared" si="6"/>
        <v>16.666666666666668</v>
      </c>
      <c r="H27" s="16" t="str">
        <f t="shared" si="7"/>
        <v>B</v>
      </c>
    </row>
    <row r="28" spans="2:15" x14ac:dyDescent="0.25">
      <c r="B28" t="s">
        <v>1048</v>
      </c>
      <c r="C28">
        <v>16</v>
      </c>
      <c r="D28">
        <v>25</v>
      </c>
      <c r="E28">
        <v>20</v>
      </c>
      <c r="F28" s="16">
        <f t="shared" si="5"/>
        <v>61</v>
      </c>
      <c r="G28" s="16">
        <f t="shared" si="6"/>
        <v>20.333333333333332</v>
      </c>
      <c r="H28" s="16" t="str">
        <f t="shared" si="7"/>
        <v>A</v>
      </c>
    </row>
    <row r="29" spans="2:15" x14ac:dyDescent="0.25">
      <c r="B29" t="s">
        <v>1049</v>
      </c>
      <c r="C29">
        <v>18</v>
      </c>
      <c r="D29">
        <v>21</v>
      </c>
      <c r="E29">
        <v>22</v>
      </c>
      <c r="F29" s="16">
        <f t="shared" si="5"/>
        <v>61</v>
      </c>
      <c r="G29" s="16">
        <f t="shared" si="6"/>
        <v>20.333333333333332</v>
      </c>
      <c r="H29" s="16" t="str">
        <f t="shared" si="7"/>
        <v>A</v>
      </c>
    </row>
    <row r="30" spans="2:15" x14ac:dyDescent="0.25">
      <c r="B30" t="s">
        <v>1050</v>
      </c>
      <c r="C30">
        <v>17</v>
      </c>
      <c r="D30">
        <v>23</v>
      </c>
      <c r="E30">
        <v>13</v>
      </c>
      <c r="F30" s="16">
        <f t="shared" si="5"/>
        <v>53</v>
      </c>
      <c r="G30" s="16">
        <f t="shared" si="6"/>
        <v>17.666666666666668</v>
      </c>
      <c r="H30" s="16" t="str">
        <f t="shared" si="7"/>
        <v>B</v>
      </c>
    </row>
    <row r="31" spans="2:15" x14ac:dyDescent="0.25">
      <c r="B31" t="s">
        <v>1051</v>
      </c>
      <c r="C31">
        <v>20</v>
      </c>
      <c r="D31">
        <v>25</v>
      </c>
      <c r="E31">
        <v>25</v>
      </c>
      <c r="F31" s="16">
        <f t="shared" si="5"/>
        <v>70</v>
      </c>
      <c r="G31" s="16">
        <f t="shared" si="6"/>
        <v>23.333333333333332</v>
      </c>
      <c r="H31" s="16" t="str">
        <f t="shared" si="7"/>
        <v>A</v>
      </c>
    </row>
    <row r="33" spans="2:8" x14ac:dyDescent="0.25">
      <c r="B33" t="s">
        <v>1052</v>
      </c>
      <c r="C33">
        <f>COUNTA(B23:B31)</f>
        <v>9</v>
      </c>
    </row>
    <row r="34" spans="2:8" x14ac:dyDescent="0.25">
      <c r="B34" t="s">
        <v>1053</v>
      </c>
      <c r="C34">
        <f>COUNTIF(C23:C31,"&gt;20")</f>
        <v>1</v>
      </c>
    </row>
    <row r="36" spans="2:8" x14ac:dyDescent="0.25">
      <c r="B36" t="s">
        <v>1039</v>
      </c>
      <c r="C36" t="s">
        <v>967</v>
      </c>
      <c r="D36" t="s">
        <v>293</v>
      </c>
      <c r="F36" t="s">
        <v>1039</v>
      </c>
      <c r="G36" t="s">
        <v>967</v>
      </c>
      <c r="H36" t="s">
        <v>277</v>
      </c>
    </row>
    <row r="37" spans="2:8" x14ac:dyDescent="0.25">
      <c r="B37" t="s">
        <v>999</v>
      </c>
      <c r="C37">
        <f>VLOOKUP(B37,B22:H31,5,FALSE)</f>
        <v>55</v>
      </c>
      <c r="D37" t="str">
        <f>VLOOKUP(B37,B22:H31,7,FALSE)</f>
        <v>B</v>
      </c>
      <c r="F37" t="s">
        <v>1046</v>
      </c>
      <c r="G37">
        <f>VLOOKUP(F37,B22:H31,5,FALSE)</f>
        <v>46</v>
      </c>
      <c r="H37">
        <f>VLOOKUP(F37,B22:H31,6,FALSE)</f>
        <v>15.333333333333334</v>
      </c>
    </row>
    <row r="38" spans="2:8" x14ac:dyDescent="0.25">
      <c r="B38" t="s">
        <v>1045</v>
      </c>
      <c r="C38">
        <f>VLOOKUP(B38,B22:H31,5,FALSE)</f>
        <v>43</v>
      </c>
      <c r="D38" t="str">
        <f>VLOOKUP(B38,B22:H31,7,FALSE)</f>
        <v>C</v>
      </c>
      <c r="F38" t="s">
        <v>1045</v>
      </c>
      <c r="G38">
        <f>VLOOKUP(F38,B22:H31,5,FALSE)</f>
        <v>43</v>
      </c>
      <c r="H38">
        <f>VLOOKUP(F38,B22:H31,6,FALSE)</f>
        <v>14.333333333333334</v>
      </c>
    </row>
    <row r="39" spans="2:8" x14ac:dyDescent="0.25">
      <c r="B39" t="s">
        <v>1044</v>
      </c>
      <c r="C39">
        <f>VLOOKUP(B39,B22:H31,5,FALSE)</f>
        <v>57</v>
      </c>
      <c r="D39" t="str">
        <f>VLOOKUP(B39,B22:H31,7,FALSE)</f>
        <v>B</v>
      </c>
      <c r="F39" t="s">
        <v>1044</v>
      </c>
      <c r="G39">
        <f>VLOOKUP(F39,B22:H31,5,FALSE)</f>
        <v>57</v>
      </c>
      <c r="H39">
        <f>VLOOKUP(F39,B22:H31,6,FALSE)</f>
        <v>19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F20" sqref="F20"/>
    </sheetView>
  </sheetViews>
  <sheetFormatPr defaultRowHeight="15" x14ac:dyDescent="0.25"/>
  <cols>
    <col min="2" max="2" width="12.5703125" customWidth="1"/>
    <col min="3" max="3" width="13.140625" customWidth="1"/>
  </cols>
  <sheetData>
    <row r="1" spans="1:9" x14ac:dyDescent="0.25">
      <c r="A1" t="s">
        <v>1054</v>
      </c>
      <c r="B1" t="s">
        <v>1055</v>
      </c>
      <c r="C1" t="s">
        <v>1066</v>
      </c>
      <c r="D1" t="s">
        <v>1067</v>
      </c>
      <c r="E1" t="s">
        <v>1068</v>
      </c>
      <c r="F1" t="s">
        <v>1069</v>
      </c>
      <c r="G1" t="s">
        <v>1070</v>
      </c>
      <c r="H1" t="s">
        <v>1071</v>
      </c>
      <c r="I1" t="s">
        <v>1023</v>
      </c>
    </row>
    <row r="2" spans="1:9" x14ac:dyDescent="0.25">
      <c r="A2" t="s">
        <v>1056</v>
      </c>
      <c r="B2" t="s">
        <v>1031</v>
      </c>
      <c r="C2" t="s">
        <v>1072</v>
      </c>
      <c r="D2">
        <v>5000</v>
      </c>
      <c r="E2">
        <f>D2*2.5%</f>
        <v>125</v>
      </c>
      <c r="F2">
        <f>D2*3.5%</f>
        <v>175.00000000000003</v>
      </c>
      <c r="G2">
        <f>D2*1.5%</f>
        <v>75</v>
      </c>
      <c r="H2">
        <f>SUM(D2:F2)-G2</f>
        <v>5225</v>
      </c>
      <c r="I2" t="str">
        <f>IF(H2&gt;20000,"A",IF(H2&gt;10000,"B","C"))</f>
        <v>C</v>
      </c>
    </row>
    <row r="3" spans="1:9" x14ac:dyDescent="0.25">
      <c r="A3" t="s">
        <v>1057</v>
      </c>
      <c r="B3" t="s">
        <v>1031</v>
      </c>
      <c r="C3" t="s">
        <v>1073</v>
      </c>
      <c r="D3">
        <v>8000</v>
      </c>
      <c r="E3">
        <f>D3*2.5%</f>
        <v>200</v>
      </c>
      <c r="F3">
        <f>D3*3.5%</f>
        <v>280</v>
      </c>
      <c r="G3">
        <f>D3*1.5%</f>
        <v>120</v>
      </c>
      <c r="H3">
        <f>D3+E3+F3-G3</f>
        <v>8360</v>
      </c>
      <c r="I3" s="16" t="str">
        <f t="shared" ref="I3:I8" si="0">IF(H3&gt;20000,"A",IF(H3&gt;10000,"B","C"))</f>
        <v>C</v>
      </c>
    </row>
    <row r="4" spans="1:9" x14ac:dyDescent="0.25">
      <c r="A4" t="s">
        <v>1058</v>
      </c>
      <c r="B4" t="s">
        <v>1031</v>
      </c>
      <c r="C4" t="s">
        <v>1074</v>
      </c>
      <c r="D4">
        <v>3000</v>
      </c>
      <c r="E4" s="16">
        <f>D4*2.5%</f>
        <v>75</v>
      </c>
      <c r="F4" s="16">
        <f t="shared" ref="F4:F9" si="1">D4*3.5%</f>
        <v>105.00000000000001</v>
      </c>
      <c r="G4" s="16">
        <f t="shared" ref="G4:G9" si="2">D4*1.5%</f>
        <v>45</v>
      </c>
      <c r="H4" s="16">
        <f t="shared" ref="H4:H9" si="3">D4+E4+F4-G4</f>
        <v>3135</v>
      </c>
      <c r="I4" s="16" t="str">
        <f t="shared" si="0"/>
        <v>C</v>
      </c>
    </row>
    <row r="5" spans="1:9" x14ac:dyDescent="0.25">
      <c r="A5" t="s">
        <v>1059</v>
      </c>
      <c r="B5" t="s">
        <v>1064</v>
      </c>
      <c r="C5" t="s">
        <v>1075</v>
      </c>
      <c r="D5">
        <v>6000</v>
      </c>
      <c r="E5" s="16">
        <f t="shared" ref="E5:E9" si="4">D5*2.5%</f>
        <v>150</v>
      </c>
      <c r="F5" s="16">
        <f t="shared" si="1"/>
        <v>210.00000000000003</v>
      </c>
      <c r="G5" s="16">
        <f t="shared" si="2"/>
        <v>90</v>
      </c>
      <c r="H5" s="16">
        <f t="shared" si="3"/>
        <v>6270</v>
      </c>
      <c r="I5" s="16" t="str">
        <f t="shared" si="0"/>
        <v>C</v>
      </c>
    </row>
    <row r="6" spans="1:9" x14ac:dyDescent="0.25">
      <c r="A6" t="s">
        <v>1060</v>
      </c>
      <c r="B6" t="s">
        <v>1064</v>
      </c>
      <c r="C6" t="s">
        <v>1076</v>
      </c>
      <c r="D6">
        <v>8000</v>
      </c>
      <c r="E6" s="16">
        <f t="shared" si="4"/>
        <v>200</v>
      </c>
      <c r="F6" s="16">
        <f t="shared" si="1"/>
        <v>280</v>
      </c>
      <c r="G6" s="16">
        <f t="shared" si="2"/>
        <v>120</v>
      </c>
      <c r="H6" s="16">
        <f t="shared" si="3"/>
        <v>8360</v>
      </c>
      <c r="I6" s="16" t="str">
        <f t="shared" si="0"/>
        <v>C</v>
      </c>
    </row>
    <row r="7" spans="1:9" x14ac:dyDescent="0.25">
      <c r="A7" t="s">
        <v>1061</v>
      </c>
      <c r="B7" t="s">
        <v>1064</v>
      </c>
      <c r="C7" t="s">
        <v>1077</v>
      </c>
      <c r="D7">
        <v>9000</v>
      </c>
      <c r="E7" s="16">
        <f t="shared" si="4"/>
        <v>225</v>
      </c>
      <c r="F7" s="16">
        <f t="shared" si="1"/>
        <v>315.00000000000006</v>
      </c>
      <c r="G7" s="16">
        <f t="shared" si="2"/>
        <v>135</v>
      </c>
      <c r="H7" s="16">
        <f t="shared" si="3"/>
        <v>9405</v>
      </c>
      <c r="I7" s="16" t="str">
        <f t="shared" si="0"/>
        <v>C</v>
      </c>
    </row>
    <row r="8" spans="1:9" x14ac:dyDescent="0.25">
      <c r="A8" t="s">
        <v>1062</v>
      </c>
      <c r="B8" t="s">
        <v>1065</v>
      </c>
      <c r="C8" t="s">
        <v>1072</v>
      </c>
      <c r="D8">
        <v>10000</v>
      </c>
      <c r="E8" s="16">
        <f t="shared" si="4"/>
        <v>250</v>
      </c>
      <c r="F8" s="16">
        <f t="shared" si="1"/>
        <v>350.00000000000006</v>
      </c>
      <c r="G8" s="16">
        <f t="shared" si="2"/>
        <v>150</v>
      </c>
      <c r="H8" s="16">
        <f t="shared" si="3"/>
        <v>10450</v>
      </c>
      <c r="I8" s="16" t="str">
        <f t="shared" si="0"/>
        <v>B</v>
      </c>
    </row>
    <row r="9" spans="1:9" x14ac:dyDescent="0.25">
      <c r="A9" t="s">
        <v>1063</v>
      </c>
      <c r="B9" t="s">
        <v>1065</v>
      </c>
      <c r="C9" t="s">
        <v>1075</v>
      </c>
      <c r="D9">
        <v>5000</v>
      </c>
      <c r="E9" s="16">
        <f t="shared" si="4"/>
        <v>125</v>
      </c>
      <c r="F9" s="16">
        <f t="shared" si="1"/>
        <v>175.00000000000003</v>
      </c>
      <c r="G9" s="16">
        <f t="shared" si="2"/>
        <v>75</v>
      </c>
      <c r="H9" s="16">
        <f t="shared" si="3"/>
        <v>5225</v>
      </c>
      <c r="I9" s="16" t="str">
        <f>IF(H9&gt;20000,"A",IF(H9&gt;10000,"B","C"))</f>
        <v>C</v>
      </c>
    </row>
    <row r="15" spans="1:9" x14ac:dyDescent="0.25">
      <c r="A15" t="s">
        <v>807</v>
      </c>
      <c r="B15" t="s">
        <v>1078</v>
      </c>
      <c r="C15" t="s">
        <v>293</v>
      </c>
    </row>
    <row r="16" spans="1:9" x14ac:dyDescent="0.25">
      <c r="A16" t="s">
        <v>1058</v>
      </c>
      <c r="B16" t="str">
        <f>VLOOKUP(A16,A1:I9,3,FALSE)</f>
        <v>PION</v>
      </c>
      <c r="C16" t="str">
        <f>VLOOKUP(A16,A1:I9,9,FALSE)</f>
        <v>C</v>
      </c>
    </row>
    <row r="17" spans="1:6" x14ac:dyDescent="0.25">
      <c r="A17" t="s">
        <v>1062</v>
      </c>
      <c r="B17" t="str">
        <f>VLOOKUP(A17,A1:I9,3,FALSE)</f>
        <v>MANAGER</v>
      </c>
      <c r="C17" t="str">
        <f>VLOOKUP(A17,A1:I9,9,FALSE)</f>
        <v>B</v>
      </c>
    </row>
    <row r="19" spans="1:6" x14ac:dyDescent="0.25">
      <c r="A19" t="s">
        <v>1096</v>
      </c>
      <c r="E19">
        <f>COUNTIF(C2:C9,"MANAGER")</f>
        <v>2</v>
      </c>
      <c r="F19">
        <f>COUNTIF(C2:C9,"GUARD")</f>
        <v>2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selection activeCell="A2" sqref="A2:A12"/>
    </sheetView>
  </sheetViews>
  <sheetFormatPr defaultRowHeight="15" x14ac:dyDescent="0.25"/>
  <cols>
    <col min="1" max="1" width="11.28515625" customWidth="1"/>
  </cols>
  <sheetData>
    <row r="1" spans="1:11" x14ac:dyDescent="0.25">
      <c r="A1" t="s">
        <v>1079</v>
      </c>
      <c r="B1" t="s">
        <v>1080</v>
      </c>
      <c r="C1" s="16" t="s">
        <v>1081</v>
      </c>
      <c r="D1" s="16" t="s">
        <v>1082</v>
      </c>
      <c r="E1" s="16" t="s">
        <v>1083</v>
      </c>
      <c r="F1" s="16" t="s">
        <v>1084</v>
      </c>
      <c r="G1" s="16" t="s">
        <v>1085</v>
      </c>
      <c r="H1" t="s">
        <v>1086</v>
      </c>
      <c r="I1" t="s">
        <v>1094</v>
      </c>
      <c r="J1" t="s">
        <v>1095</v>
      </c>
    </row>
    <row r="2" spans="1:11" x14ac:dyDescent="0.25">
      <c r="A2" t="s">
        <v>1087</v>
      </c>
      <c r="B2">
        <v>2000</v>
      </c>
      <c r="C2">
        <v>1500</v>
      </c>
      <c r="D2">
        <v>300</v>
      </c>
      <c r="E2">
        <v>1400</v>
      </c>
      <c r="F2">
        <v>1000</v>
      </c>
      <c r="G2">
        <v>1400</v>
      </c>
      <c r="H2">
        <f>SUM(B2:G2)</f>
        <v>7600</v>
      </c>
      <c r="I2">
        <v>10000</v>
      </c>
      <c r="J2" t="str">
        <f>IF(H2&gt;I2,"Target Achieved","Not Achieved")</f>
        <v>Not Achieved</v>
      </c>
    </row>
    <row r="3" spans="1:11" x14ac:dyDescent="0.25">
      <c r="A3" t="s">
        <v>1061</v>
      </c>
      <c r="B3">
        <v>5000</v>
      </c>
      <c r="C3">
        <v>1200</v>
      </c>
      <c r="D3">
        <v>500</v>
      </c>
      <c r="E3">
        <v>1200</v>
      </c>
      <c r="F3">
        <v>1200</v>
      </c>
      <c r="G3">
        <v>2800</v>
      </c>
      <c r="H3" s="16">
        <f t="shared" ref="H3:H12" si="0">SUM(B3:G3)</f>
        <v>11900</v>
      </c>
      <c r="I3">
        <v>12000</v>
      </c>
      <c r="J3" s="16" t="str">
        <f t="shared" ref="J3:J12" si="1">IF(H3&gt;I3,"Target Achieved","Not Achieved")</f>
        <v>Not Achieved</v>
      </c>
    </row>
    <row r="4" spans="1:11" x14ac:dyDescent="0.25">
      <c r="A4" t="s">
        <v>1060</v>
      </c>
      <c r="B4">
        <v>3000</v>
      </c>
      <c r="C4">
        <v>800</v>
      </c>
      <c r="D4">
        <v>1200</v>
      </c>
      <c r="E4">
        <v>3000</v>
      </c>
      <c r="F4">
        <v>1500</v>
      </c>
      <c r="G4">
        <v>3500</v>
      </c>
      <c r="H4" s="16">
        <f t="shared" si="0"/>
        <v>13000</v>
      </c>
      <c r="I4">
        <v>18000</v>
      </c>
      <c r="J4" s="16" t="str">
        <f t="shared" si="1"/>
        <v>Not Achieved</v>
      </c>
    </row>
    <row r="5" spans="1:11" x14ac:dyDescent="0.25">
      <c r="A5" t="s">
        <v>1059</v>
      </c>
      <c r="B5">
        <v>1000</v>
      </c>
      <c r="C5">
        <v>900</v>
      </c>
      <c r="D5">
        <v>1800</v>
      </c>
      <c r="E5">
        <v>5000</v>
      </c>
      <c r="F5">
        <v>1400</v>
      </c>
      <c r="G5">
        <v>1200</v>
      </c>
      <c r="H5" s="16">
        <f t="shared" si="0"/>
        <v>11300</v>
      </c>
      <c r="I5">
        <v>10000</v>
      </c>
      <c r="J5" s="16" t="str">
        <f t="shared" si="1"/>
        <v>Target Achieved</v>
      </c>
    </row>
    <row r="6" spans="1:11" x14ac:dyDescent="0.25">
      <c r="A6" t="s">
        <v>1058</v>
      </c>
      <c r="B6">
        <v>500</v>
      </c>
      <c r="C6">
        <v>1000</v>
      </c>
      <c r="D6">
        <v>2300</v>
      </c>
      <c r="E6">
        <v>8000</v>
      </c>
      <c r="F6">
        <v>1700</v>
      </c>
      <c r="G6">
        <v>1400</v>
      </c>
      <c r="H6" s="16">
        <f t="shared" si="0"/>
        <v>14900</v>
      </c>
      <c r="I6">
        <v>12000</v>
      </c>
      <c r="J6" s="16" t="str">
        <f t="shared" si="1"/>
        <v>Target Achieved</v>
      </c>
    </row>
    <row r="7" spans="1:11" x14ac:dyDescent="0.25">
      <c r="A7" t="s">
        <v>1088</v>
      </c>
      <c r="B7">
        <v>800</v>
      </c>
      <c r="C7">
        <v>500</v>
      </c>
      <c r="D7">
        <v>2400</v>
      </c>
      <c r="E7">
        <v>1900</v>
      </c>
      <c r="F7">
        <v>1800</v>
      </c>
      <c r="G7">
        <v>1800</v>
      </c>
      <c r="H7" s="16">
        <f t="shared" si="0"/>
        <v>9200</v>
      </c>
      <c r="I7">
        <v>10000</v>
      </c>
      <c r="J7" s="16" t="str">
        <f t="shared" si="1"/>
        <v>Not Achieved</v>
      </c>
    </row>
    <row r="8" spans="1:11" x14ac:dyDescent="0.25">
      <c r="A8" t="s">
        <v>1089</v>
      </c>
      <c r="B8">
        <v>1200</v>
      </c>
      <c r="C8">
        <v>1400</v>
      </c>
      <c r="D8">
        <v>1500</v>
      </c>
      <c r="E8">
        <v>700</v>
      </c>
      <c r="F8">
        <v>2500</v>
      </c>
      <c r="G8">
        <v>7000</v>
      </c>
      <c r="H8" s="16">
        <f t="shared" si="0"/>
        <v>14300</v>
      </c>
      <c r="I8">
        <v>12000</v>
      </c>
      <c r="J8" s="16" t="str">
        <f t="shared" si="1"/>
        <v>Target Achieved</v>
      </c>
    </row>
    <row r="9" spans="1:11" x14ac:dyDescent="0.25">
      <c r="A9" t="s">
        <v>1090</v>
      </c>
      <c r="B9">
        <v>1500</v>
      </c>
      <c r="C9">
        <v>1800</v>
      </c>
      <c r="D9">
        <v>1800</v>
      </c>
      <c r="E9">
        <v>1800</v>
      </c>
      <c r="F9">
        <v>300</v>
      </c>
      <c r="G9">
        <v>1500</v>
      </c>
      <c r="H9" s="16">
        <f t="shared" si="0"/>
        <v>8700</v>
      </c>
      <c r="I9">
        <v>10000</v>
      </c>
      <c r="J9" s="16" t="str">
        <f t="shared" si="1"/>
        <v>Not Achieved</v>
      </c>
    </row>
    <row r="10" spans="1:11" x14ac:dyDescent="0.25">
      <c r="A10" t="s">
        <v>1091</v>
      </c>
      <c r="B10">
        <v>1800</v>
      </c>
      <c r="C10">
        <v>2500</v>
      </c>
      <c r="D10">
        <v>1700</v>
      </c>
      <c r="E10">
        <v>1500</v>
      </c>
      <c r="F10">
        <v>2800</v>
      </c>
      <c r="G10">
        <v>1800</v>
      </c>
      <c r="H10" s="16">
        <f t="shared" si="0"/>
        <v>12100</v>
      </c>
      <c r="I10">
        <v>12000</v>
      </c>
      <c r="J10" s="16" t="str">
        <f t="shared" si="1"/>
        <v>Target Achieved</v>
      </c>
    </row>
    <row r="11" spans="1:11" x14ac:dyDescent="0.25">
      <c r="A11" t="s">
        <v>1092</v>
      </c>
      <c r="B11">
        <v>200</v>
      </c>
      <c r="C11">
        <v>3000</v>
      </c>
      <c r="D11">
        <v>1900</v>
      </c>
      <c r="E11">
        <v>1200</v>
      </c>
      <c r="F11">
        <v>1500</v>
      </c>
      <c r="G11">
        <v>3000</v>
      </c>
      <c r="H11" s="16">
        <f t="shared" si="0"/>
        <v>10800</v>
      </c>
      <c r="I11">
        <v>10000</v>
      </c>
      <c r="J11" s="16" t="str">
        <f t="shared" si="1"/>
        <v>Target Achieved</v>
      </c>
    </row>
    <row r="12" spans="1:11" x14ac:dyDescent="0.25">
      <c r="A12" t="s">
        <v>1093</v>
      </c>
      <c r="B12">
        <v>1600</v>
      </c>
      <c r="C12">
        <v>1200</v>
      </c>
      <c r="D12">
        <v>2000</v>
      </c>
      <c r="E12">
        <v>800</v>
      </c>
      <c r="F12">
        <v>1700</v>
      </c>
      <c r="G12">
        <v>800</v>
      </c>
      <c r="H12" s="16">
        <f t="shared" si="0"/>
        <v>8100</v>
      </c>
      <c r="I12">
        <v>10000</v>
      </c>
      <c r="J12" s="16" t="str">
        <f t="shared" si="1"/>
        <v>Not Achieved</v>
      </c>
    </row>
    <row r="14" spans="1:11" x14ac:dyDescent="0.25">
      <c r="B14" t="s">
        <v>1097</v>
      </c>
      <c r="C14" t="s">
        <v>1098</v>
      </c>
      <c r="F14" t="s">
        <v>1099</v>
      </c>
      <c r="H14">
        <f>COUNTIF(J2:J12,"Target Achieved")</f>
        <v>5</v>
      </c>
    </row>
    <row r="15" spans="1:11" x14ac:dyDescent="0.25">
      <c r="A15" t="s">
        <v>1060</v>
      </c>
      <c r="B15">
        <f>VLOOKUP(A15,A1:K12,9,FALSE)</f>
        <v>18000</v>
      </c>
      <c r="C15" t="str">
        <f>VLOOKUP(A15,A1:K12,10,FALSE)</f>
        <v>Not Achieved</v>
      </c>
      <c r="K15">
        <f>COUNT(A2:A12)</f>
        <v>0</v>
      </c>
    </row>
    <row r="16" spans="1:11" x14ac:dyDescent="0.25">
      <c r="A16" t="s">
        <v>1059</v>
      </c>
      <c r="B16">
        <f>VLOOKUP(A16,A1:J12,9,FALSE)</f>
        <v>10000</v>
      </c>
      <c r="C16" t="str">
        <f>VLOOKUP(A16,A1:J12,10,FALSE)</f>
        <v>Target Achieved</v>
      </c>
      <c r="I16" t="s">
        <v>1097</v>
      </c>
      <c r="J16" t="s">
        <v>1098</v>
      </c>
    </row>
    <row r="17" spans="8:10" x14ac:dyDescent="0.25">
      <c r="H17" t="s">
        <v>1089</v>
      </c>
      <c r="I17">
        <f>VLOOKUP(H17,A1:K12,9,FALSE)</f>
        <v>12000</v>
      </c>
      <c r="J17" t="str">
        <f>VLOOKUP(H17,A1:K12,10,FALSE)</f>
        <v>Target Achieved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F3" sqref="F3"/>
    </sheetView>
  </sheetViews>
  <sheetFormatPr defaultRowHeight="15" x14ac:dyDescent="0.25"/>
  <cols>
    <col min="2" max="2" width="10.42578125" bestFit="1" customWidth="1"/>
    <col min="6" max="6" width="10.42578125" bestFit="1" customWidth="1"/>
  </cols>
  <sheetData>
    <row r="1" spans="1:6" x14ac:dyDescent="0.25">
      <c r="A1" t="s">
        <v>1054</v>
      </c>
      <c r="B1" t="s">
        <v>1113</v>
      </c>
      <c r="C1" t="s">
        <v>1114</v>
      </c>
      <c r="D1" t="s">
        <v>1115</v>
      </c>
      <c r="E1" t="s">
        <v>1116</v>
      </c>
    </row>
    <row r="2" spans="1:6" x14ac:dyDescent="0.25">
      <c r="A2" s="16" t="s">
        <v>1087</v>
      </c>
      <c r="B2" s="24">
        <v>29356</v>
      </c>
      <c r="C2">
        <f>DAY(B2)</f>
        <v>15</v>
      </c>
      <c r="D2">
        <f>MONTH(B2)</f>
        <v>5</v>
      </c>
      <c r="E2">
        <f>YEAR(B2)</f>
        <v>1980</v>
      </c>
      <c r="F2" s="24"/>
    </row>
    <row r="3" spans="1:6" x14ac:dyDescent="0.25">
      <c r="A3" s="16" t="s">
        <v>1061</v>
      </c>
      <c r="B3" s="24">
        <v>29818</v>
      </c>
      <c r="C3" s="16">
        <f t="shared" ref="C3:C12" si="0">DAY(B3)</f>
        <v>20</v>
      </c>
      <c r="D3" s="16">
        <f t="shared" ref="D3:D12" si="1">MONTH(B3)</f>
        <v>8</v>
      </c>
      <c r="E3" s="16">
        <f t="shared" ref="E3:E12" si="2">YEAR(B3)</f>
        <v>1981</v>
      </c>
    </row>
    <row r="4" spans="1:6" x14ac:dyDescent="0.25">
      <c r="A4" s="16" t="s">
        <v>1060</v>
      </c>
      <c r="B4" s="24">
        <v>37909</v>
      </c>
      <c r="C4" s="16">
        <f t="shared" si="0"/>
        <v>15</v>
      </c>
      <c r="D4" s="16">
        <f t="shared" si="1"/>
        <v>10</v>
      </c>
      <c r="E4" s="16">
        <f t="shared" si="2"/>
        <v>2003</v>
      </c>
    </row>
    <row r="5" spans="1:6" x14ac:dyDescent="0.25">
      <c r="A5" s="16" t="s">
        <v>1059</v>
      </c>
      <c r="B5" s="24">
        <v>33018</v>
      </c>
      <c r="C5" s="16">
        <f t="shared" si="0"/>
        <v>25</v>
      </c>
      <c r="D5" s="16">
        <f t="shared" si="1"/>
        <v>5</v>
      </c>
      <c r="E5" s="16">
        <f t="shared" si="2"/>
        <v>1990</v>
      </c>
    </row>
    <row r="6" spans="1:6" x14ac:dyDescent="0.25">
      <c r="A6" s="16" t="s">
        <v>1058</v>
      </c>
      <c r="B6" s="24">
        <v>33840</v>
      </c>
      <c r="C6" s="16">
        <f t="shared" si="0"/>
        <v>24</v>
      </c>
      <c r="D6" s="16">
        <f t="shared" si="1"/>
        <v>8</v>
      </c>
      <c r="E6" s="16">
        <f t="shared" si="2"/>
        <v>1992</v>
      </c>
    </row>
    <row r="7" spans="1:6" x14ac:dyDescent="0.25">
      <c r="A7" s="16" t="s">
        <v>1088</v>
      </c>
      <c r="B7" s="24">
        <v>36030</v>
      </c>
      <c r="C7" s="16">
        <f t="shared" si="0"/>
        <v>23</v>
      </c>
      <c r="D7" s="16">
        <f t="shared" si="1"/>
        <v>8</v>
      </c>
      <c r="E7" s="16">
        <f t="shared" si="2"/>
        <v>1998</v>
      </c>
    </row>
    <row r="8" spans="1:6" x14ac:dyDescent="0.25">
      <c r="A8" s="16" t="s">
        <v>1089</v>
      </c>
      <c r="B8" s="24">
        <v>29353</v>
      </c>
      <c r="C8" s="16">
        <f t="shared" si="0"/>
        <v>12</v>
      </c>
      <c r="D8" s="16">
        <f t="shared" si="1"/>
        <v>5</v>
      </c>
      <c r="E8" s="16">
        <f t="shared" si="2"/>
        <v>1980</v>
      </c>
    </row>
    <row r="9" spans="1:6" x14ac:dyDescent="0.25">
      <c r="A9" s="16" t="s">
        <v>1090</v>
      </c>
      <c r="B9" s="24">
        <v>38429</v>
      </c>
      <c r="C9" s="16">
        <f t="shared" si="0"/>
        <v>18</v>
      </c>
      <c r="D9" s="16">
        <f t="shared" si="1"/>
        <v>3</v>
      </c>
      <c r="E9" s="16">
        <f t="shared" si="2"/>
        <v>2005</v>
      </c>
    </row>
    <row r="10" spans="1:6" x14ac:dyDescent="0.25">
      <c r="A10" s="16" t="s">
        <v>1091</v>
      </c>
      <c r="B10" s="24">
        <v>39309</v>
      </c>
      <c r="C10" s="16">
        <f t="shared" si="0"/>
        <v>15</v>
      </c>
      <c r="D10" s="16">
        <f t="shared" si="1"/>
        <v>8</v>
      </c>
      <c r="E10" s="16">
        <f t="shared" si="2"/>
        <v>2007</v>
      </c>
    </row>
    <row r="11" spans="1:6" x14ac:dyDescent="0.25">
      <c r="A11" s="16" t="s">
        <v>1092</v>
      </c>
      <c r="B11" s="24">
        <v>40323</v>
      </c>
      <c r="C11" s="16">
        <f t="shared" si="0"/>
        <v>25</v>
      </c>
      <c r="D11" s="16">
        <f t="shared" si="1"/>
        <v>5</v>
      </c>
      <c r="E11" s="16">
        <f t="shared" si="2"/>
        <v>2010</v>
      </c>
    </row>
    <row r="12" spans="1:6" x14ac:dyDescent="0.25">
      <c r="A12" s="16" t="s">
        <v>1093</v>
      </c>
      <c r="B12" s="24">
        <v>34206</v>
      </c>
      <c r="C12" s="16">
        <f t="shared" si="0"/>
        <v>25</v>
      </c>
      <c r="D12" s="16">
        <f t="shared" si="1"/>
        <v>8</v>
      </c>
      <c r="E12" s="16">
        <f t="shared" si="2"/>
        <v>1993</v>
      </c>
    </row>
    <row r="14" spans="1:6" x14ac:dyDescent="0.25">
      <c r="A14" t="s">
        <v>1117</v>
      </c>
      <c r="C14">
        <f>COUNTA(A2:A12)</f>
        <v>11</v>
      </c>
    </row>
    <row r="15" spans="1:6" x14ac:dyDescent="0.25">
      <c r="A15" t="s">
        <v>1118</v>
      </c>
      <c r="F15">
        <f ca="1">YEAR(TODAY()) - YEAR(B11) - (DATE(YEAR(TODAY()), MONTH(B11), DAY(B11)) &gt; TODAY())</f>
        <v>15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selection sqref="A1:C20"/>
    </sheetView>
  </sheetViews>
  <sheetFormatPr defaultRowHeight="15" x14ac:dyDescent="0.25"/>
  <cols>
    <col min="2" max="2" width="10.42578125" bestFit="1" customWidth="1"/>
  </cols>
  <sheetData>
    <row r="1" spans="1:3" x14ac:dyDescent="0.25">
      <c r="A1" t="s">
        <v>1020</v>
      </c>
      <c r="B1" t="s">
        <v>1100</v>
      </c>
      <c r="C1" t="s">
        <v>1101</v>
      </c>
    </row>
    <row r="2" spans="1:3" x14ac:dyDescent="0.25">
      <c r="A2" t="s">
        <v>1104</v>
      </c>
      <c r="B2" s="24">
        <v>42370</v>
      </c>
      <c r="C2">
        <v>800</v>
      </c>
    </row>
    <row r="3" spans="1:3" x14ac:dyDescent="0.25">
      <c r="A3" t="s">
        <v>1103</v>
      </c>
      <c r="B3" s="24">
        <v>42502</v>
      </c>
      <c r="C3">
        <v>2000</v>
      </c>
    </row>
    <row r="4" spans="1:3" x14ac:dyDescent="0.25">
      <c r="A4" t="s">
        <v>1104</v>
      </c>
      <c r="B4" s="24">
        <v>42508</v>
      </c>
      <c r="C4">
        <v>500</v>
      </c>
    </row>
    <row r="5" spans="1:3" x14ac:dyDescent="0.25">
      <c r="A5" t="s">
        <v>1106</v>
      </c>
      <c r="B5" s="24">
        <v>42510</v>
      </c>
      <c r="C5">
        <v>800</v>
      </c>
    </row>
    <row r="6" spans="1:3" x14ac:dyDescent="0.25">
      <c r="A6" t="s">
        <v>1106</v>
      </c>
      <c r="B6" s="24">
        <v>42410</v>
      </c>
      <c r="C6">
        <v>1000</v>
      </c>
    </row>
    <row r="7" spans="1:3" x14ac:dyDescent="0.25">
      <c r="A7" t="s">
        <v>1102</v>
      </c>
      <c r="B7" s="24">
        <v>42498</v>
      </c>
      <c r="C7">
        <v>1000</v>
      </c>
    </row>
    <row r="8" spans="1:3" x14ac:dyDescent="0.25">
      <c r="A8" t="s">
        <v>1103</v>
      </c>
      <c r="B8" s="24">
        <v>42500</v>
      </c>
      <c r="C8">
        <v>1200</v>
      </c>
    </row>
    <row r="9" spans="1:3" x14ac:dyDescent="0.25">
      <c r="A9" t="s">
        <v>1103</v>
      </c>
      <c r="B9" s="24">
        <v>42515</v>
      </c>
      <c r="C9">
        <v>1500</v>
      </c>
    </row>
    <row r="10" spans="1:3" x14ac:dyDescent="0.25">
      <c r="A10" t="s">
        <v>1105</v>
      </c>
      <c r="B10" s="24">
        <v>42561</v>
      </c>
      <c r="C10">
        <v>1800</v>
      </c>
    </row>
    <row r="11" spans="1:3" x14ac:dyDescent="0.25">
      <c r="A11" t="s">
        <v>1103</v>
      </c>
      <c r="B11" s="24">
        <v>42379</v>
      </c>
      <c r="C11">
        <v>2000</v>
      </c>
    </row>
    <row r="12" spans="1:3" x14ac:dyDescent="0.25">
      <c r="A12" t="s">
        <v>1105</v>
      </c>
      <c r="B12" s="24">
        <v>42536</v>
      </c>
      <c r="C12">
        <v>1500</v>
      </c>
    </row>
    <row r="13" spans="1:3" x14ac:dyDescent="0.25">
      <c r="A13" t="s">
        <v>1105</v>
      </c>
      <c r="B13" s="24">
        <v>42381</v>
      </c>
      <c r="C13">
        <v>1000</v>
      </c>
    </row>
    <row r="14" spans="1:3" x14ac:dyDescent="0.25">
      <c r="A14" t="s">
        <v>1102</v>
      </c>
      <c r="B14" s="24">
        <v>42370</v>
      </c>
      <c r="C14">
        <v>1200</v>
      </c>
    </row>
    <row r="15" spans="1:3" x14ac:dyDescent="0.25">
      <c r="A15" t="s">
        <v>1102</v>
      </c>
      <c r="B15" s="24">
        <v>42500</v>
      </c>
      <c r="C15">
        <v>1500</v>
      </c>
    </row>
    <row r="16" spans="1:3" x14ac:dyDescent="0.25">
      <c r="A16" t="s">
        <v>1102</v>
      </c>
      <c r="B16" s="24">
        <v>42500</v>
      </c>
      <c r="C16">
        <v>1800</v>
      </c>
    </row>
    <row r="17" spans="1:5" x14ac:dyDescent="0.25">
      <c r="A17" t="s">
        <v>1104</v>
      </c>
      <c r="B17" s="24">
        <v>42500</v>
      </c>
      <c r="C17">
        <v>1000</v>
      </c>
    </row>
    <row r="18" spans="1:5" x14ac:dyDescent="0.25">
      <c r="A18" t="s">
        <v>1104</v>
      </c>
      <c r="B18" s="24">
        <v>42596</v>
      </c>
      <c r="C18">
        <v>1200</v>
      </c>
    </row>
    <row r="19" spans="1:5" x14ac:dyDescent="0.25">
      <c r="A19" t="s">
        <v>1103</v>
      </c>
      <c r="B19" s="24">
        <v>42597</v>
      </c>
      <c r="C19">
        <v>1500</v>
      </c>
    </row>
    <row r="20" spans="1:5" x14ac:dyDescent="0.25">
      <c r="A20" t="s">
        <v>1102</v>
      </c>
      <c r="B20" s="24">
        <v>42602</v>
      </c>
      <c r="C20">
        <v>1800</v>
      </c>
    </row>
    <row r="22" spans="1:5" x14ac:dyDescent="0.25">
      <c r="A22" t="s">
        <v>1107</v>
      </c>
      <c r="C22">
        <f>COUNTA(A1:A20)</f>
        <v>20</v>
      </c>
    </row>
    <row r="23" spans="1:5" x14ac:dyDescent="0.25">
      <c r="A23" t="s">
        <v>1108</v>
      </c>
      <c r="C23">
        <f>COUNTIF(A2:A20,"BRAKES")</f>
        <v>4</v>
      </c>
      <c r="D23">
        <f>COUNTIF(A2:A20,"TYRES")</f>
        <v>5</v>
      </c>
      <c r="E23">
        <f>COUNTIF(A2:A20,"WINDOW")</f>
        <v>5</v>
      </c>
    </row>
    <row r="24" spans="1:5" x14ac:dyDescent="0.25">
      <c r="A24" t="s">
        <v>1109</v>
      </c>
      <c r="E24">
        <f>COUNTIFS(C1:C20,"&gt;1000",C1:C20,"&gt;=1000")</f>
        <v>12</v>
      </c>
    </row>
    <row r="25" spans="1:5" x14ac:dyDescent="0.25">
      <c r="A25" t="s">
        <v>1110</v>
      </c>
      <c r="E25">
        <f>SUMIFS(C1:C20, A1:A20, "WINDOW") + SUMIFS(C1:C20, A1:A20, "BRAKES")</f>
        <v>10800</v>
      </c>
    </row>
    <row r="26" spans="1:5" x14ac:dyDescent="0.25">
      <c r="A26" t="s">
        <v>1111</v>
      </c>
    </row>
    <row r="28" spans="1:5" x14ac:dyDescent="0.25">
      <c r="A28" t="s">
        <v>1112</v>
      </c>
    </row>
  </sheetData>
  <pageMargins left="0.7" right="0.7" top="0.75" bottom="0.75" header="0.3" footer="0.3"/>
  <pageSetup paperSize="9" orientation="portrait" verticalDpi="0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>
      <selection activeCell="B28" sqref="B28"/>
    </sheetView>
  </sheetViews>
  <sheetFormatPr defaultRowHeight="15" x14ac:dyDescent="0.25"/>
  <cols>
    <col min="5" max="5" width="10.42578125" bestFit="1" customWidth="1"/>
    <col min="16" max="16" width="10.42578125" bestFit="1" customWidth="1"/>
  </cols>
  <sheetData>
    <row r="1" spans="1:17" x14ac:dyDescent="0.25">
      <c r="A1" t="s">
        <v>1119</v>
      </c>
      <c r="B1" t="s">
        <v>1120</v>
      </c>
      <c r="C1" t="s">
        <v>1121</v>
      </c>
      <c r="D1" t="s">
        <v>930</v>
      </c>
      <c r="E1" t="s">
        <v>547</v>
      </c>
      <c r="F1" t="s">
        <v>1122</v>
      </c>
    </row>
    <row r="2" spans="1:17" x14ac:dyDescent="0.25">
      <c r="A2" t="s">
        <v>1123</v>
      </c>
      <c r="B2" t="s">
        <v>1135</v>
      </c>
      <c r="C2" t="s">
        <v>1147</v>
      </c>
      <c r="D2" t="s">
        <v>1165</v>
      </c>
      <c r="E2" s="24">
        <v>39474</v>
      </c>
      <c r="F2">
        <v>73500</v>
      </c>
    </row>
    <row r="3" spans="1:17" x14ac:dyDescent="0.25">
      <c r="A3" s="16" t="s">
        <v>1124</v>
      </c>
      <c r="B3" t="s">
        <v>1137</v>
      </c>
      <c r="C3" t="s">
        <v>1148</v>
      </c>
      <c r="D3" t="s">
        <v>1166</v>
      </c>
      <c r="E3" s="24">
        <v>39508</v>
      </c>
      <c r="F3">
        <v>80000</v>
      </c>
      <c r="L3" s="16" t="s">
        <v>1119</v>
      </c>
      <c r="M3" s="16" t="s">
        <v>1120</v>
      </c>
      <c r="N3" s="16" t="s">
        <v>1121</v>
      </c>
      <c r="O3" s="16" t="s">
        <v>930</v>
      </c>
      <c r="P3" s="16" t="s">
        <v>547</v>
      </c>
      <c r="Q3" s="16" t="s">
        <v>1122</v>
      </c>
    </row>
    <row r="4" spans="1:17" x14ac:dyDescent="0.25">
      <c r="A4" s="16" t="s">
        <v>1125</v>
      </c>
      <c r="B4" t="s">
        <v>1136</v>
      </c>
      <c r="C4" t="s">
        <v>1149</v>
      </c>
      <c r="D4" t="s">
        <v>1165</v>
      </c>
      <c r="E4" s="24">
        <v>39554</v>
      </c>
      <c r="F4">
        <v>95000</v>
      </c>
      <c r="L4" s="16" t="s">
        <v>1123</v>
      </c>
      <c r="M4" t="str">
        <f>VLOOKUP(L4,A1:F15,2,FALSE)</f>
        <v>Faith K.Macias</v>
      </c>
      <c r="N4" t="str">
        <f>VLOOKUP(L4,A1:F15,3,FALSE)</f>
        <v>845-04-3962</v>
      </c>
      <c r="O4" t="str">
        <f>VLOOKUP(L4,A1:F15,4,FALSE)</f>
        <v>Marketing</v>
      </c>
      <c r="P4" s="24">
        <f>VLOOKUP(L4,A1:F15,5,FALSE)</f>
        <v>39474</v>
      </c>
      <c r="Q4" s="16">
        <f>VLOOKUP(L4,A1:G15,6,FALSE)</f>
        <v>73500</v>
      </c>
    </row>
    <row r="5" spans="1:17" x14ac:dyDescent="0.25">
      <c r="A5" s="16" t="s">
        <v>1126</v>
      </c>
      <c r="B5" t="s">
        <v>1138</v>
      </c>
      <c r="C5" t="s">
        <v>1150</v>
      </c>
      <c r="D5" t="s">
        <v>1165</v>
      </c>
      <c r="E5" s="24">
        <v>39571</v>
      </c>
      <c r="F5">
        <v>105000</v>
      </c>
      <c r="L5" s="16" t="s">
        <v>1124</v>
      </c>
      <c r="M5" t="str">
        <f>VLOOKUP(L5,A1:F15,2,FALSE)</f>
        <v>Lucian Q. Franklin</v>
      </c>
      <c r="N5" t="str">
        <f>VLOOKUP(L5,A1:F15,3,FALSE)</f>
        <v>345-28-4935</v>
      </c>
      <c r="O5" t="str">
        <f>VLOOKUP(L5,A1:F15,4,FALSE)</f>
        <v>IT/IS</v>
      </c>
      <c r="P5" s="24">
        <f>VLOOKUP(L5,A1:F15,5,FALSE)</f>
        <v>39508</v>
      </c>
      <c r="Q5">
        <f>VLOOKUP(L5,A1:F15,5,FALSE)</f>
        <v>39508</v>
      </c>
    </row>
    <row r="6" spans="1:17" x14ac:dyDescent="0.25">
      <c r="A6" s="16" t="s">
        <v>1127</v>
      </c>
      <c r="B6" t="s">
        <v>1139</v>
      </c>
      <c r="C6" t="s">
        <v>1151</v>
      </c>
      <c r="D6" t="s">
        <v>1167</v>
      </c>
      <c r="E6" s="24">
        <v>39640</v>
      </c>
      <c r="F6">
        <v>90000</v>
      </c>
      <c r="L6" s="16" t="s">
        <v>1125</v>
      </c>
      <c r="M6" t="str">
        <f>VLOOKUP(L6,A1:F15,2,FALSE)</f>
        <v>Blaze V. Bridges</v>
      </c>
      <c r="N6" t="str">
        <f>VLOOKUP(L6,A1:F15,3,FALSE)</f>
        <v>503-53-8350</v>
      </c>
      <c r="O6" t="str">
        <f>VLOOKUP(L6,A1:F15,4,FALSE)</f>
        <v>Marketing</v>
      </c>
      <c r="P6" s="24">
        <f>VLOOKUP(L6,A1:F15,5,FALSE)</f>
        <v>39554</v>
      </c>
      <c r="Q6">
        <f>VLOOKUP(L6,A1:F15,6,FALSE)</f>
        <v>95000</v>
      </c>
    </row>
    <row r="7" spans="1:17" x14ac:dyDescent="0.25">
      <c r="A7" s="16" t="s">
        <v>1128</v>
      </c>
      <c r="B7" t="s">
        <v>1141</v>
      </c>
      <c r="C7" t="s">
        <v>1152</v>
      </c>
      <c r="D7" t="s">
        <v>1168</v>
      </c>
      <c r="E7" s="24">
        <v>39646</v>
      </c>
      <c r="F7">
        <v>60000</v>
      </c>
    </row>
    <row r="8" spans="1:17" x14ac:dyDescent="0.25">
      <c r="A8" s="16" t="s">
        <v>1129</v>
      </c>
      <c r="B8" t="s">
        <v>1140</v>
      </c>
      <c r="C8" t="s">
        <v>1153</v>
      </c>
      <c r="D8" t="s">
        <v>1168</v>
      </c>
      <c r="E8" s="24">
        <v>39726</v>
      </c>
      <c r="F8">
        <v>87000</v>
      </c>
    </row>
    <row r="9" spans="1:17" x14ac:dyDescent="0.25">
      <c r="A9" s="16" t="s">
        <v>1130</v>
      </c>
      <c r="B9" t="s">
        <v>1142</v>
      </c>
      <c r="C9" t="s">
        <v>1154</v>
      </c>
      <c r="D9" t="s">
        <v>1167</v>
      </c>
      <c r="E9" s="24">
        <v>39746</v>
      </c>
      <c r="F9">
        <v>104000</v>
      </c>
    </row>
    <row r="10" spans="1:17" x14ac:dyDescent="0.25">
      <c r="A10" s="16" t="s">
        <v>1131</v>
      </c>
      <c r="B10" t="s">
        <v>1143</v>
      </c>
      <c r="C10" t="s">
        <v>1155</v>
      </c>
      <c r="D10" t="s">
        <v>1165</v>
      </c>
      <c r="E10" s="24">
        <v>39757</v>
      </c>
      <c r="F10">
        <v>380050</v>
      </c>
    </row>
    <row r="11" spans="1:17" x14ac:dyDescent="0.25">
      <c r="A11" s="16" t="s">
        <v>1132</v>
      </c>
      <c r="B11" t="s">
        <v>1144</v>
      </c>
      <c r="C11" t="s">
        <v>1156</v>
      </c>
      <c r="D11" t="s">
        <v>1165</v>
      </c>
      <c r="E11" s="24">
        <v>39791</v>
      </c>
      <c r="F11">
        <v>93000</v>
      </c>
    </row>
    <row r="12" spans="1:17" x14ac:dyDescent="0.25">
      <c r="A12" s="16" t="s">
        <v>1133</v>
      </c>
      <c r="B12" t="s">
        <v>1145</v>
      </c>
      <c r="C12" t="s">
        <v>1157</v>
      </c>
      <c r="D12" t="s">
        <v>1166</v>
      </c>
      <c r="E12" s="24">
        <v>39856</v>
      </c>
      <c r="F12">
        <v>180000</v>
      </c>
    </row>
    <row r="13" spans="1:17" x14ac:dyDescent="0.25">
      <c r="A13" s="16" t="s">
        <v>1134</v>
      </c>
      <c r="B13" t="s">
        <v>1146</v>
      </c>
      <c r="C13" t="s">
        <v>1158</v>
      </c>
      <c r="D13" t="s">
        <v>1165</v>
      </c>
      <c r="E13" s="24">
        <v>39891</v>
      </c>
      <c r="F13">
        <v>100000</v>
      </c>
    </row>
    <row r="14" spans="1:17" x14ac:dyDescent="0.25">
      <c r="A14" s="16" t="s">
        <v>1159</v>
      </c>
      <c r="B14" t="s">
        <v>1164</v>
      </c>
      <c r="C14" t="s">
        <v>1161</v>
      </c>
      <c r="D14" t="s">
        <v>935</v>
      </c>
      <c r="E14" s="24">
        <v>39916</v>
      </c>
      <c r="F14">
        <v>136000</v>
      </c>
    </row>
    <row r="15" spans="1:17" x14ac:dyDescent="0.25">
      <c r="A15" s="16" t="s">
        <v>1160</v>
      </c>
      <c r="B15" t="s">
        <v>1163</v>
      </c>
      <c r="C15" t="s">
        <v>1162</v>
      </c>
      <c r="D15" t="s">
        <v>1165</v>
      </c>
      <c r="E15" s="24">
        <v>39931</v>
      </c>
      <c r="F15">
        <v>68000</v>
      </c>
    </row>
    <row r="17" spans="1:7" x14ac:dyDescent="0.25">
      <c r="A17" t="s">
        <v>1169</v>
      </c>
      <c r="E17">
        <f>COUNTA(A2:A15)</f>
        <v>14</v>
      </c>
    </row>
    <row r="18" spans="1:7" x14ac:dyDescent="0.25">
      <c r="A18" t="s">
        <v>1170</v>
      </c>
      <c r="E18">
        <f>SUMIF(D2:D15,"Finance",F2:F15)+SUMIF(D2:D15,"Marketing",F2:F15)</f>
        <v>1061550</v>
      </c>
      <c r="F18">
        <f>COUNTIF(D2:D15,"Finance")+COUNTIF(D2:D15,"Marketing")</f>
        <v>9</v>
      </c>
    </row>
    <row r="19" spans="1:7" x14ac:dyDescent="0.25">
      <c r="A19" t="s">
        <v>1171</v>
      </c>
      <c r="E19">
        <f>SUMIF(D2:D15,"Marketing",F2:F15)</f>
        <v>914550</v>
      </c>
    </row>
    <row r="22" spans="1:7" x14ac:dyDescent="0.25">
      <c r="B22" t="s">
        <v>1120</v>
      </c>
      <c r="C22" t="s">
        <v>930</v>
      </c>
      <c r="D22" t="s">
        <v>1122</v>
      </c>
      <c r="F22" t="s">
        <v>1120</v>
      </c>
      <c r="G22" t="s">
        <v>1172</v>
      </c>
    </row>
    <row r="23" spans="1:7" x14ac:dyDescent="0.25">
      <c r="B23" s="16" t="s">
        <v>1139</v>
      </c>
      <c r="C23" t="str">
        <f>VLOOKUP(B23,B1:F15,3,FALSE)</f>
        <v>Engineering</v>
      </c>
      <c r="D23">
        <f>VLOOKUP(B23,B1:F15,5,FALSE)</f>
        <v>90000</v>
      </c>
      <c r="F23" s="16" t="s">
        <v>1139</v>
      </c>
      <c r="G23" t="str">
        <f>VLOOKUP(F23,B1:F15,2,FALSE)</f>
        <v>245-18-5890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6"/>
  <sheetViews>
    <sheetView topLeftCell="A71" workbookViewId="0">
      <selection activeCell="U95" sqref="U95"/>
    </sheetView>
  </sheetViews>
  <sheetFormatPr defaultRowHeight="15" x14ac:dyDescent="0.25"/>
  <cols>
    <col min="18" max="18" width="10.42578125" bestFit="1" customWidth="1"/>
    <col min="21" max="21" width="11.28515625" customWidth="1"/>
  </cols>
  <sheetData>
    <row r="1" spans="1:16" x14ac:dyDescent="0.25">
      <c r="A1" t="s">
        <v>200</v>
      </c>
      <c r="B1" t="s">
        <v>168</v>
      </c>
      <c r="C1" s="16" t="s">
        <v>169</v>
      </c>
      <c r="D1" s="16" t="s">
        <v>170</v>
      </c>
      <c r="E1" s="16" t="s">
        <v>171</v>
      </c>
      <c r="F1" s="16" t="s">
        <v>172</v>
      </c>
      <c r="G1" s="16" t="s">
        <v>173</v>
      </c>
      <c r="H1" s="16" t="s">
        <v>174</v>
      </c>
      <c r="I1" s="16" t="s">
        <v>175</v>
      </c>
      <c r="J1" t="s">
        <v>729</v>
      </c>
      <c r="M1" t="s">
        <v>807</v>
      </c>
      <c r="N1" t="s">
        <v>1183</v>
      </c>
      <c r="O1" t="s">
        <v>898</v>
      </c>
      <c r="P1" t="s">
        <v>746</v>
      </c>
    </row>
    <row r="2" spans="1:16" x14ac:dyDescent="0.25">
      <c r="A2" t="s">
        <v>1173</v>
      </c>
      <c r="B2">
        <v>2773</v>
      </c>
      <c r="C2">
        <v>17462</v>
      </c>
      <c r="D2">
        <v>5954</v>
      </c>
      <c r="E2">
        <v>1348</v>
      </c>
      <c r="F2">
        <v>28158</v>
      </c>
      <c r="G2">
        <v>28799</v>
      </c>
      <c r="H2">
        <v>25415</v>
      </c>
      <c r="I2">
        <v>17277</v>
      </c>
      <c r="J2">
        <f>SUM(B2:I2)</f>
        <v>127186</v>
      </c>
      <c r="M2" t="s">
        <v>1184</v>
      </c>
      <c r="N2" t="s">
        <v>1195</v>
      </c>
      <c r="O2" t="s">
        <v>1197</v>
      </c>
      <c r="P2">
        <v>74</v>
      </c>
    </row>
    <row r="3" spans="1:16" x14ac:dyDescent="0.25">
      <c r="A3" t="s">
        <v>1174</v>
      </c>
      <c r="B3">
        <v>12908</v>
      </c>
      <c r="C3">
        <v>3083</v>
      </c>
      <c r="D3">
        <v>24492</v>
      </c>
      <c r="E3">
        <v>5825</v>
      </c>
      <c r="F3">
        <v>1080</v>
      </c>
      <c r="G3">
        <v>2188</v>
      </c>
      <c r="H3">
        <v>11087</v>
      </c>
      <c r="I3">
        <v>15544</v>
      </c>
      <c r="J3" s="16">
        <f t="shared" ref="J3:J9" si="0">SUM(B3:I3)</f>
        <v>76207</v>
      </c>
      <c r="M3" t="s">
        <v>1185</v>
      </c>
      <c r="N3" t="s">
        <v>1196</v>
      </c>
      <c r="O3" t="s">
        <v>1198</v>
      </c>
      <c r="P3">
        <v>92</v>
      </c>
    </row>
    <row r="4" spans="1:16" x14ac:dyDescent="0.25">
      <c r="A4" t="s">
        <v>1175</v>
      </c>
      <c r="B4">
        <v>6554</v>
      </c>
      <c r="C4">
        <v>14262</v>
      </c>
      <c r="D4">
        <v>8377</v>
      </c>
      <c r="E4">
        <v>24982</v>
      </c>
      <c r="F4">
        <v>12184</v>
      </c>
      <c r="G4">
        <v>6430</v>
      </c>
      <c r="H4">
        <v>21159</v>
      </c>
      <c r="I4">
        <v>18597</v>
      </c>
      <c r="J4" s="16">
        <f t="shared" si="0"/>
        <v>112545</v>
      </c>
      <c r="M4" t="s">
        <v>1186</v>
      </c>
      <c r="N4" t="s">
        <v>1195</v>
      </c>
      <c r="O4" t="s">
        <v>1197</v>
      </c>
      <c r="P4">
        <v>65</v>
      </c>
    </row>
    <row r="5" spans="1:16" x14ac:dyDescent="0.25">
      <c r="A5" t="s">
        <v>1176</v>
      </c>
      <c r="B5">
        <v>28913</v>
      </c>
      <c r="C5">
        <v>1437</v>
      </c>
      <c r="D5">
        <v>20019</v>
      </c>
      <c r="E5">
        <v>13026</v>
      </c>
      <c r="F5">
        <v>26952</v>
      </c>
      <c r="G5">
        <v>27076</v>
      </c>
      <c r="H5">
        <v>7040</v>
      </c>
      <c r="I5">
        <v>10884</v>
      </c>
      <c r="J5" s="16">
        <f t="shared" si="0"/>
        <v>135347</v>
      </c>
      <c r="M5" t="s">
        <v>1187</v>
      </c>
      <c r="N5" t="s">
        <v>1196</v>
      </c>
      <c r="O5" t="s">
        <v>1199</v>
      </c>
      <c r="P5">
        <v>82</v>
      </c>
    </row>
    <row r="6" spans="1:16" x14ac:dyDescent="0.25">
      <c r="A6" t="s">
        <v>1177</v>
      </c>
      <c r="B6">
        <v>4768</v>
      </c>
      <c r="C6">
        <v>7622</v>
      </c>
      <c r="D6">
        <v>28918</v>
      </c>
      <c r="E6">
        <v>27141</v>
      </c>
      <c r="F6">
        <v>3578</v>
      </c>
      <c r="G6">
        <v>10092</v>
      </c>
      <c r="H6">
        <v>15207</v>
      </c>
      <c r="I6">
        <v>12771</v>
      </c>
      <c r="J6" s="16">
        <f t="shared" si="0"/>
        <v>110097</v>
      </c>
      <c r="M6" t="s">
        <v>1188</v>
      </c>
      <c r="N6" t="s">
        <v>1196</v>
      </c>
      <c r="O6" t="s">
        <v>1200</v>
      </c>
      <c r="P6">
        <v>50</v>
      </c>
    </row>
    <row r="7" spans="1:16" x14ac:dyDescent="0.25">
      <c r="A7" t="s">
        <v>1178</v>
      </c>
      <c r="B7">
        <v>13390</v>
      </c>
      <c r="C7">
        <v>3611</v>
      </c>
      <c r="D7">
        <v>6226</v>
      </c>
      <c r="E7">
        <v>27567</v>
      </c>
      <c r="F7">
        <v>29962</v>
      </c>
      <c r="G7">
        <v>2967</v>
      </c>
      <c r="H7">
        <v>5740</v>
      </c>
      <c r="I7">
        <v>2137</v>
      </c>
      <c r="J7" s="16">
        <f t="shared" si="0"/>
        <v>91600</v>
      </c>
      <c r="M7" t="s">
        <v>1189</v>
      </c>
      <c r="N7" t="s">
        <v>1196</v>
      </c>
      <c r="O7" t="s">
        <v>1199</v>
      </c>
      <c r="P7">
        <v>91</v>
      </c>
    </row>
    <row r="8" spans="1:16" x14ac:dyDescent="0.25">
      <c r="A8" t="s">
        <v>1180</v>
      </c>
      <c r="B8">
        <v>17585</v>
      </c>
      <c r="C8">
        <v>28508</v>
      </c>
      <c r="D8">
        <v>9614</v>
      </c>
      <c r="E8">
        <v>17110</v>
      </c>
      <c r="F8">
        <v>12143</v>
      </c>
      <c r="G8">
        <v>7365</v>
      </c>
      <c r="H8">
        <v>24185</v>
      </c>
      <c r="I8">
        <v>1643</v>
      </c>
      <c r="J8" s="16">
        <f t="shared" si="0"/>
        <v>118153</v>
      </c>
      <c r="M8" t="s">
        <v>1190</v>
      </c>
      <c r="N8" t="s">
        <v>1196</v>
      </c>
      <c r="O8" t="s">
        <v>1197</v>
      </c>
      <c r="P8">
        <v>96</v>
      </c>
    </row>
    <row r="9" spans="1:16" x14ac:dyDescent="0.25">
      <c r="A9" t="s">
        <v>1179</v>
      </c>
      <c r="B9">
        <v>22579</v>
      </c>
      <c r="C9">
        <v>16301</v>
      </c>
      <c r="D9">
        <v>6469</v>
      </c>
      <c r="E9">
        <v>22050</v>
      </c>
      <c r="F9">
        <v>8740</v>
      </c>
      <c r="G9">
        <v>18806</v>
      </c>
      <c r="H9">
        <v>3334</v>
      </c>
      <c r="I9">
        <v>3597</v>
      </c>
      <c r="J9" s="16">
        <f t="shared" si="0"/>
        <v>101876</v>
      </c>
      <c r="M9" t="s">
        <v>1191</v>
      </c>
      <c r="N9" t="s">
        <v>1195</v>
      </c>
      <c r="O9" t="s">
        <v>1197</v>
      </c>
      <c r="P9">
        <v>58</v>
      </c>
    </row>
    <row r="10" spans="1:16" x14ac:dyDescent="0.25">
      <c r="M10" t="s">
        <v>1192</v>
      </c>
      <c r="N10" t="s">
        <v>1195</v>
      </c>
      <c r="O10" t="s">
        <v>1199</v>
      </c>
      <c r="P10">
        <v>67</v>
      </c>
    </row>
    <row r="11" spans="1:16" x14ac:dyDescent="0.25">
      <c r="M11" t="s">
        <v>1193</v>
      </c>
      <c r="N11" t="s">
        <v>1196</v>
      </c>
      <c r="O11" t="s">
        <v>1198</v>
      </c>
      <c r="P11">
        <v>54</v>
      </c>
    </row>
    <row r="12" spans="1:16" x14ac:dyDescent="0.25">
      <c r="A12" t="s">
        <v>1181</v>
      </c>
      <c r="B12">
        <f>COUNTA(A2:A9)</f>
        <v>8</v>
      </c>
      <c r="M12" t="s">
        <v>1194</v>
      </c>
      <c r="N12" t="s">
        <v>1195</v>
      </c>
      <c r="O12" t="s">
        <v>1197</v>
      </c>
      <c r="P12">
        <v>83</v>
      </c>
    </row>
    <row r="14" spans="1:16" x14ac:dyDescent="0.25">
      <c r="A14" t="s">
        <v>1182</v>
      </c>
      <c r="B14" t="s">
        <v>170</v>
      </c>
      <c r="C14" t="s">
        <v>173</v>
      </c>
      <c r="D14" t="s">
        <v>729</v>
      </c>
    </row>
    <row r="15" spans="1:16" x14ac:dyDescent="0.25">
      <c r="A15" t="s">
        <v>1175</v>
      </c>
      <c r="B15">
        <f>VLOOKUP(A15,A1:J9,4,FALSE)</f>
        <v>8377</v>
      </c>
      <c r="C15">
        <f>VLOOKUP(A15,A1:J9,7,FALSE)</f>
        <v>6430</v>
      </c>
      <c r="D15">
        <f>VLOOKUP(A15,A1:J9,10,FALSE)</f>
        <v>112545</v>
      </c>
      <c r="M15" t="s">
        <v>1201</v>
      </c>
      <c r="O15">
        <f>COUNTIF(N2:N12,"Male")</f>
        <v>5</v>
      </c>
      <c r="P15">
        <f>COUNTIF(N2:N12,"Female")</f>
        <v>6</v>
      </c>
    </row>
    <row r="16" spans="1:16" x14ac:dyDescent="0.25">
      <c r="A16" t="s">
        <v>1179</v>
      </c>
      <c r="B16">
        <f>VLOOKUP(A16,A1:J9,4,FALSE)</f>
        <v>6469</v>
      </c>
      <c r="C16">
        <f>VLOOKUP(A16,A1:J9,6,FALSE)</f>
        <v>8740</v>
      </c>
      <c r="D16">
        <f>VLOOKUP(A16,A1:J9,10,FALSE)</f>
        <v>101876</v>
      </c>
      <c r="M16" t="s">
        <v>1202</v>
      </c>
      <c r="O16">
        <f>COUNTIFS(N2:N12,"Male",O2:O12,"United States")</f>
        <v>4</v>
      </c>
    </row>
    <row r="18" spans="1:21" x14ac:dyDescent="0.25">
      <c r="M18" t="s">
        <v>807</v>
      </c>
      <c r="N18" t="s">
        <v>898</v>
      </c>
    </row>
    <row r="19" spans="1:21" x14ac:dyDescent="0.25">
      <c r="M19" t="s">
        <v>1187</v>
      </c>
      <c r="N19" t="str">
        <f>VLOOKUP(M19,M1:P12,3,FALSE)</f>
        <v>Canada</v>
      </c>
    </row>
    <row r="20" spans="1:21" x14ac:dyDescent="0.25">
      <c r="M20" t="s">
        <v>1192</v>
      </c>
      <c r="N20" t="str">
        <f>VLOOKUP(M20,M1:P12,3,FALSE)</f>
        <v>Canada</v>
      </c>
    </row>
    <row r="21" spans="1:21" x14ac:dyDescent="0.25">
      <c r="M21" t="s">
        <v>1194</v>
      </c>
      <c r="N21" t="str">
        <f>VLOOKUP(M21,M1:P12,3,FALSE)</f>
        <v>United States</v>
      </c>
    </row>
    <row r="22" spans="1:21" x14ac:dyDescent="0.25">
      <c r="M22" t="s">
        <v>1188</v>
      </c>
      <c r="N22" t="str">
        <f>VLOOKUP(M22,M1:P12,3,FALSE)</f>
        <v>Australia</v>
      </c>
    </row>
    <row r="23" spans="1:21" x14ac:dyDescent="0.25">
      <c r="A23" t="s">
        <v>1203</v>
      </c>
      <c r="B23" t="s">
        <v>1204</v>
      </c>
      <c r="C23" t="s">
        <v>0</v>
      </c>
      <c r="E23" s="16" t="s">
        <v>1203</v>
      </c>
      <c r="F23" s="16" t="s">
        <v>1204</v>
      </c>
      <c r="G23" s="16" t="s">
        <v>0</v>
      </c>
    </row>
    <row r="24" spans="1:21" x14ac:dyDescent="0.25">
      <c r="A24">
        <v>101</v>
      </c>
      <c r="B24" t="s">
        <v>1205</v>
      </c>
      <c r="C24" t="s">
        <v>1211</v>
      </c>
      <c r="E24">
        <v>104</v>
      </c>
      <c r="F24" t="str">
        <f>VLOOKUP(E24,A23:C27,2,TRUE)</f>
        <v>HP</v>
      </c>
      <c r="G24" t="str">
        <f>VLOOKUP(E24,$A$23:$C$27,3,FALSE)</f>
        <v>Printer</v>
      </c>
    </row>
    <row r="25" spans="1:21" x14ac:dyDescent="0.25">
      <c r="A25">
        <v>102</v>
      </c>
      <c r="B25" t="s">
        <v>1206</v>
      </c>
      <c r="C25" t="s">
        <v>1210</v>
      </c>
      <c r="E25">
        <v>103</v>
      </c>
      <c r="F25" s="16" t="str">
        <f>VLOOKUP(E25,A23:C27,2,TRUE)</f>
        <v>Logitech</v>
      </c>
      <c r="G25" s="16" t="str">
        <f t="shared" ref="G25:G33" si="1">VLOOKUP(E25,$A$23:$C$27,3,FALSE)</f>
        <v>Mouse</v>
      </c>
    </row>
    <row r="26" spans="1:21" x14ac:dyDescent="0.25">
      <c r="A26">
        <v>103</v>
      </c>
      <c r="B26" t="s">
        <v>1206</v>
      </c>
      <c r="C26" t="s">
        <v>1209</v>
      </c>
      <c r="E26">
        <v>104</v>
      </c>
      <c r="F26" s="16" t="str">
        <f>VLOOKUP(E26,A23:C27,2,TRUE)</f>
        <v>HP</v>
      </c>
      <c r="G26" s="16" t="str">
        <f t="shared" si="1"/>
        <v>Printer</v>
      </c>
    </row>
    <row r="27" spans="1:21" x14ac:dyDescent="0.25">
      <c r="A27">
        <v>104</v>
      </c>
      <c r="B27" t="s">
        <v>1207</v>
      </c>
      <c r="C27" t="s">
        <v>1208</v>
      </c>
      <c r="E27">
        <v>101</v>
      </c>
      <c r="F27" s="16" t="str">
        <f>VLOOKUP(E27,$A$23:$C$27,2,TRUE)</f>
        <v>Dell</v>
      </c>
      <c r="G27" s="16" t="str">
        <f t="shared" si="1"/>
        <v>Computer</v>
      </c>
    </row>
    <row r="28" spans="1:21" x14ac:dyDescent="0.25">
      <c r="E28">
        <v>102</v>
      </c>
      <c r="F28" s="16" t="str">
        <f t="shared" ref="F28:F33" si="2">VLOOKUP(E28,$A$23:$C$27,2,TRUE)</f>
        <v>Logitech</v>
      </c>
      <c r="G28" s="16" t="str">
        <f t="shared" si="1"/>
        <v>Keyboard</v>
      </c>
      <c r="L28" t="s">
        <v>2</v>
      </c>
      <c r="M28" t="s">
        <v>168</v>
      </c>
      <c r="N28" s="16" t="s">
        <v>169</v>
      </c>
      <c r="O28" s="16" t="s">
        <v>170</v>
      </c>
      <c r="Q28" t="s">
        <v>5</v>
      </c>
      <c r="R28" s="16" t="s">
        <v>170</v>
      </c>
      <c r="S28" s="16" t="e">
        <f>INDEX($L$28:$O$32,MATCH(Q28,L28:L32,0),MATCH(R28,L28:O28,0))</f>
        <v>#N/A</v>
      </c>
      <c r="T28" s="16"/>
      <c r="U28" s="16"/>
    </row>
    <row r="29" spans="1:21" x14ac:dyDescent="0.25">
      <c r="E29">
        <v>103</v>
      </c>
      <c r="F29" s="16" t="str">
        <f t="shared" si="2"/>
        <v>Logitech</v>
      </c>
      <c r="G29" s="16" t="str">
        <f t="shared" si="1"/>
        <v>Mouse</v>
      </c>
      <c r="L29" t="s">
        <v>12</v>
      </c>
      <c r="M29">
        <v>5535</v>
      </c>
      <c r="N29">
        <v>5414</v>
      </c>
      <c r="O29">
        <v>9027</v>
      </c>
      <c r="Q29" t="s">
        <v>8</v>
      </c>
      <c r="R29" t="s">
        <v>169</v>
      </c>
      <c r="S29" s="16">
        <f>INDEX($L$28:$O$32,MATCH(Q29,L29:L32,0),MATCH(R29,L28:O28,0))</f>
        <v>3858</v>
      </c>
    </row>
    <row r="30" spans="1:21" x14ac:dyDescent="0.25">
      <c r="E30">
        <v>101</v>
      </c>
      <c r="F30" s="16" t="str">
        <f t="shared" si="2"/>
        <v>Dell</v>
      </c>
      <c r="G30" s="16" t="str">
        <f t="shared" si="1"/>
        <v>Computer</v>
      </c>
      <c r="L30" t="s">
        <v>114</v>
      </c>
      <c r="M30">
        <v>5013</v>
      </c>
      <c r="N30">
        <v>5107</v>
      </c>
      <c r="O30">
        <v>11667</v>
      </c>
      <c r="Q30" t="s">
        <v>114</v>
      </c>
      <c r="R30" t="s">
        <v>168</v>
      </c>
      <c r="S30" s="16">
        <f>INDEX($L$28:$O$32,MATCH(Q30,L29:L32,0),MATCH(R30,L28:O28,0))</f>
        <v>5535</v>
      </c>
    </row>
    <row r="31" spans="1:21" x14ac:dyDescent="0.25">
      <c r="E31">
        <v>104</v>
      </c>
      <c r="F31" s="16" t="str">
        <f t="shared" si="2"/>
        <v>HP</v>
      </c>
      <c r="G31" s="16" t="str">
        <f t="shared" si="1"/>
        <v>Printer</v>
      </c>
      <c r="L31" t="s">
        <v>1212</v>
      </c>
      <c r="M31">
        <v>6597</v>
      </c>
      <c r="N31">
        <v>3858</v>
      </c>
      <c r="O31">
        <v>1507</v>
      </c>
      <c r="Q31" t="s">
        <v>12</v>
      </c>
      <c r="R31" t="s">
        <v>170</v>
      </c>
      <c r="S31" s="16" t="str">
        <f>INDEX($L$28:$O$32,MATCH(Q31,L29:L32,0),MATCH(R31,L28:O28,0))</f>
        <v>Mar</v>
      </c>
    </row>
    <row r="32" spans="1:21" x14ac:dyDescent="0.25">
      <c r="E32">
        <v>101</v>
      </c>
      <c r="F32" s="16" t="str">
        <f t="shared" si="2"/>
        <v>Dell</v>
      </c>
      <c r="G32" s="16" t="str">
        <f t="shared" si="1"/>
        <v>Computer</v>
      </c>
      <c r="L32" t="s">
        <v>8</v>
      </c>
      <c r="M32">
        <v>3195</v>
      </c>
      <c r="N32">
        <v>3654</v>
      </c>
      <c r="O32">
        <v>7225</v>
      </c>
    </row>
    <row r="33" spans="1:22" x14ac:dyDescent="0.25">
      <c r="E33">
        <v>102</v>
      </c>
      <c r="F33" s="16" t="str">
        <f t="shared" si="2"/>
        <v>Logitech</v>
      </c>
      <c r="G33" s="16" t="str">
        <f t="shared" si="1"/>
        <v>Keyboard</v>
      </c>
    </row>
    <row r="36" spans="1:22" x14ac:dyDescent="0.25">
      <c r="A36" t="s">
        <v>1213</v>
      </c>
      <c r="B36" t="s">
        <v>1231</v>
      </c>
      <c r="C36" t="s">
        <v>930</v>
      </c>
      <c r="D36" t="s">
        <v>1232</v>
      </c>
      <c r="G36" s="16" t="s">
        <v>1232</v>
      </c>
      <c r="H36" t="s">
        <v>1231</v>
      </c>
      <c r="J36" t="s">
        <v>807</v>
      </c>
      <c r="K36" t="s">
        <v>1046</v>
      </c>
      <c r="L36" t="s">
        <v>1047</v>
      </c>
      <c r="M36" t="s">
        <v>1265</v>
      </c>
      <c r="N36" t="s">
        <v>1266</v>
      </c>
      <c r="O36" t="s">
        <v>1269</v>
      </c>
      <c r="R36" t="s">
        <v>593</v>
      </c>
      <c r="S36" t="s">
        <v>1271</v>
      </c>
      <c r="T36" t="s">
        <v>807</v>
      </c>
      <c r="U36" t="s">
        <v>1290</v>
      </c>
      <c r="V36" t="s">
        <v>1291</v>
      </c>
    </row>
    <row r="37" spans="1:22" x14ac:dyDescent="0.25">
      <c r="A37" t="s">
        <v>1214</v>
      </c>
      <c r="B37">
        <v>92671</v>
      </c>
      <c r="C37" t="s">
        <v>1</v>
      </c>
      <c r="D37" t="s">
        <v>1235</v>
      </c>
      <c r="G37" s="16" t="s">
        <v>1235</v>
      </c>
      <c r="H37">
        <f>INDEX(B36:B56, MATCH(G37, D36:D56, 0))</f>
        <v>92671</v>
      </c>
      <c r="J37" t="s">
        <v>1258</v>
      </c>
      <c r="K37" t="s">
        <v>1267</v>
      </c>
      <c r="L37" s="16" t="s">
        <v>1267</v>
      </c>
      <c r="M37" t="s">
        <v>1268</v>
      </c>
      <c r="N37" t="s">
        <v>1267</v>
      </c>
      <c r="O37" t="str">
        <f>IF(AND(K37="PASS",L37="PASS",M37="PASS",N37="PASS"),"Passed","Not Passed")</f>
        <v>Not Passed</v>
      </c>
      <c r="R37" s="24">
        <v>43405</v>
      </c>
      <c r="S37">
        <v>1101</v>
      </c>
      <c r="T37" t="s">
        <v>1303</v>
      </c>
      <c r="U37" t="s">
        <v>1318</v>
      </c>
      <c r="V37" t="s">
        <v>1086</v>
      </c>
    </row>
    <row r="38" spans="1:22" x14ac:dyDescent="0.25">
      <c r="A38" t="s">
        <v>1215</v>
      </c>
      <c r="B38">
        <v>84120</v>
      </c>
      <c r="C38" t="s">
        <v>1233</v>
      </c>
      <c r="D38" s="16" t="s">
        <v>1236</v>
      </c>
      <c r="G38" s="16" t="s">
        <v>1236</v>
      </c>
      <c r="H38" s="16">
        <f>INDEX(B36:B56,MATCH(G38,D36:D56,0))</f>
        <v>84120</v>
      </c>
      <c r="J38" t="s">
        <v>1259</v>
      </c>
      <c r="K38" s="16" t="s">
        <v>1267</v>
      </c>
      <c r="L38" s="16" t="s">
        <v>1267</v>
      </c>
      <c r="M38" t="s">
        <v>1267</v>
      </c>
      <c r="N38" s="16" t="s">
        <v>1267</v>
      </c>
      <c r="O38" s="16" t="str">
        <f t="shared" ref="O38:O45" si="3">IF(AND(K38="PASS",L38="PASS",M38="PASS",N38="PASS"),"Passed","Not Passed")</f>
        <v>Passed</v>
      </c>
      <c r="R38" s="24">
        <v>43405</v>
      </c>
      <c r="S38" s="16">
        <v>1102</v>
      </c>
      <c r="T38" t="s">
        <v>1088</v>
      </c>
      <c r="U38" t="s">
        <v>1319</v>
      </c>
      <c r="V38" t="s">
        <v>1292</v>
      </c>
    </row>
    <row r="39" spans="1:22" x14ac:dyDescent="0.25">
      <c r="A39" t="s">
        <v>1216</v>
      </c>
      <c r="B39">
        <v>50793</v>
      </c>
      <c r="C39" t="s">
        <v>1165</v>
      </c>
      <c r="D39" s="16" t="s">
        <v>1237</v>
      </c>
      <c r="G39" s="16" t="s">
        <v>1237</v>
      </c>
      <c r="H39" s="16">
        <f>INDEX(B36:B56,MATCH(G39,D36:D56,0))</f>
        <v>50793</v>
      </c>
      <c r="J39" t="s">
        <v>1260</v>
      </c>
      <c r="K39" s="16" t="s">
        <v>1267</v>
      </c>
      <c r="L39" t="s">
        <v>1268</v>
      </c>
      <c r="M39" s="16" t="s">
        <v>1267</v>
      </c>
      <c r="N39" s="16" t="s">
        <v>1267</v>
      </c>
      <c r="O39" s="16" t="str">
        <f t="shared" si="3"/>
        <v>Not Passed</v>
      </c>
      <c r="R39" s="24">
        <v>43407</v>
      </c>
      <c r="S39" s="16">
        <v>1103</v>
      </c>
      <c r="T39" t="s">
        <v>1304</v>
      </c>
      <c r="U39" t="s">
        <v>1320</v>
      </c>
      <c r="V39" t="s">
        <v>1293</v>
      </c>
    </row>
    <row r="40" spans="1:22" x14ac:dyDescent="0.25">
      <c r="A40" t="s">
        <v>1217</v>
      </c>
      <c r="B40">
        <v>77833</v>
      </c>
      <c r="C40" t="s">
        <v>1234</v>
      </c>
      <c r="D40" s="16" t="s">
        <v>1238</v>
      </c>
      <c r="G40" s="16" t="s">
        <v>1238</v>
      </c>
      <c r="H40" s="16">
        <f>INDEX($B$36:$B$56,MATCH(G40,$D$36:$D$56,0))</f>
        <v>77833</v>
      </c>
      <c r="J40" t="s">
        <v>1261</v>
      </c>
      <c r="K40" s="16" t="s">
        <v>1267</v>
      </c>
      <c r="L40" t="s">
        <v>1267</v>
      </c>
      <c r="M40" s="16" t="s">
        <v>1267</v>
      </c>
      <c r="N40" s="16" t="s">
        <v>1267</v>
      </c>
      <c r="O40" s="16" t="str">
        <f t="shared" si="3"/>
        <v>Passed</v>
      </c>
      <c r="R40" s="24">
        <v>43407</v>
      </c>
      <c r="S40" s="16">
        <v>1104</v>
      </c>
      <c r="T40" t="s">
        <v>1305</v>
      </c>
      <c r="U40" t="s">
        <v>1321</v>
      </c>
      <c r="V40" t="s">
        <v>1294</v>
      </c>
    </row>
    <row r="41" spans="1:22" x14ac:dyDescent="0.25">
      <c r="A41" t="s">
        <v>1218</v>
      </c>
      <c r="B41">
        <v>58914</v>
      </c>
      <c r="C41" t="s">
        <v>1168</v>
      </c>
      <c r="D41" s="16" t="s">
        <v>1239</v>
      </c>
      <c r="G41" s="16" t="s">
        <v>1239</v>
      </c>
      <c r="H41" s="16">
        <f t="shared" ref="H41:H56" si="4">INDEX($B$36:$B$56,MATCH(G41,$D$36:$D$56,0))</f>
        <v>58914</v>
      </c>
      <c r="J41" t="s">
        <v>1262</v>
      </c>
      <c r="K41" s="16" t="s">
        <v>1267</v>
      </c>
      <c r="L41" t="s">
        <v>1268</v>
      </c>
      <c r="M41" s="16" t="s">
        <v>1267</v>
      </c>
      <c r="N41" s="16" t="s">
        <v>1267</v>
      </c>
      <c r="O41" s="16" t="str">
        <f t="shared" si="3"/>
        <v>Not Passed</v>
      </c>
      <c r="R41" s="24">
        <v>43407</v>
      </c>
      <c r="S41" s="16">
        <v>1105</v>
      </c>
      <c r="T41" t="s">
        <v>1306</v>
      </c>
      <c r="U41" t="s">
        <v>1322</v>
      </c>
      <c r="V41" t="s">
        <v>1295</v>
      </c>
    </row>
    <row r="42" spans="1:22" x14ac:dyDescent="0.25">
      <c r="A42" t="s">
        <v>1219</v>
      </c>
      <c r="B42">
        <v>51096</v>
      </c>
      <c r="C42" t="s">
        <v>936</v>
      </c>
      <c r="D42" s="16" t="s">
        <v>1240</v>
      </c>
      <c r="G42" s="16" t="s">
        <v>1240</v>
      </c>
      <c r="H42" s="16">
        <f t="shared" si="4"/>
        <v>51096</v>
      </c>
      <c r="J42" t="s">
        <v>1263</v>
      </c>
      <c r="K42" t="s">
        <v>1268</v>
      </c>
      <c r="L42" t="s">
        <v>1267</v>
      </c>
      <c r="M42" s="16" t="s">
        <v>1267</v>
      </c>
      <c r="N42" s="16" t="s">
        <v>1267</v>
      </c>
      <c r="O42" s="16" t="str">
        <f t="shared" si="3"/>
        <v>Not Passed</v>
      </c>
      <c r="R42" s="24">
        <v>43410</v>
      </c>
      <c r="S42" s="16">
        <v>1106</v>
      </c>
      <c r="T42" t="s">
        <v>1307</v>
      </c>
      <c r="U42" t="s">
        <v>1322</v>
      </c>
      <c r="V42" t="s">
        <v>1296</v>
      </c>
    </row>
    <row r="43" spans="1:22" x14ac:dyDescent="0.25">
      <c r="A43" t="s">
        <v>1220</v>
      </c>
      <c r="B43">
        <v>83735</v>
      </c>
      <c r="C43" t="s">
        <v>1165</v>
      </c>
      <c r="D43" s="16" t="s">
        <v>1241</v>
      </c>
      <c r="G43" s="16" t="s">
        <v>1241</v>
      </c>
      <c r="H43" s="16">
        <f t="shared" si="4"/>
        <v>83735</v>
      </c>
      <c r="J43" t="s">
        <v>1264</v>
      </c>
      <c r="K43" t="s">
        <v>1267</v>
      </c>
      <c r="L43" s="16" t="s">
        <v>1267</v>
      </c>
      <c r="M43" s="16" t="s">
        <v>1267</v>
      </c>
      <c r="N43" t="s">
        <v>1268</v>
      </c>
      <c r="O43" s="16" t="str">
        <f t="shared" si="3"/>
        <v>Not Passed</v>
      </c>
      <c r="R43" s="24">
        <v>43410</v>
      </c>
      <c r="S43" s="16">
        <v>1107</v>
      </c>
      <c r="T43" t="s">
        <v>1308</v>
      </c>
      <c r="U43" t="s">
        <v>1323</v>
      </c>
      <c r="V43" t="s">
        <v>1297</v>
      </c>
    </row>
    <row r="44" spans="1:22" x14ac:dyDescent="0.25">
      <c r="A44" t="s">
        <v>1221</v>
      </c>
      <c r="B44">
        <v>74418</v>
      </c>
      <c r="C44" t="s">
        <v>936</v>
      </c>
      <c r="D44" s="16" t="s">
        <v>1242</v>
      </c>
      <c r="G44" s="16" t="s">
        <v>1242</v>
      </c>
      <c r="H44" s="16">
        <f t="shared" si="4"/>
        <v>74418</v>
      </c>
      <c r="J44" t="s">
        <v>1270</v>
      </c>
      <c r="K44" s="16" t="s">
        <v>1267</v>
      </c>
      <c r="L44" t="s">
        <v>1267</v>
      </c>
      <c r="M44" t="s">
        <v>1268</v>
      </c>
      <c r="N44" t="s">
        <v>1267</v>
      </c>
      <c r="O44" s="16" t="str">
        <f t="shared" si="3"/>
        <v>Not Passed</v>
      </c>
      <c r="R44" s="24">
        <v>43412</v>
      </c>
      <c r="S44" s="16">
        <v>1108</v>
      </c>
      <c r="T44" t="s">
        <v>1309</v>
      </c>
      <c r="U44" t="s">
        <v>1324</v>
      </c>
      <c r="V44" t="s">
        <v>1298</v>
      </c>
    </row>
    <row r="45" spans="1:22" x14ac:dyDescent="0.25">
      <c r="A45" t="s">
        <v>1222</v>
      </c>
      <c r="B45">
        <v>51366</v>
      </c>
      <c r="C45" t="s">
        <v>1</v>
      </c>
      <c r="D45" s="16" t="s">
        <v>1243</v>
      </c>
      <c r="G45" s="16" t="s">
        <v>1243</v>
      </c>
      <c r="H45" s="16">
        <f t="shared" si="4"/>
        <v>51366</v>
      </c>
      <c r="J45" t="s">
        <v>1062</v>
      </c>
      <c r="K45" s="16" t="s">
        <v>1267</v>
      </c>
      <c r="L45" s="16" t="s">
        <v>1267</v>
      </c>
      <c r="M45" s="16" t="s">
        <v>1267</v>
      </c>
      <c r="N45" s="16" t="s">
        <v>1267</v>
      </c>
      <c r="O45" s="16" t="str">
        <f t="shared" si="3"/>
        <v>Passed</v>
      </c>
      <c r="R45" s="24">
        <v>43412</v>
      </c>
      <c r="S45" s="16">
        <v>1109</v>
      </c>
      <c r="T45" t="s">
        <v>1310</v>
      </c>
      <c r="U45" t="s">
        <v>1325</v>
      </c>
      <c r="V45" t="s">
        <v>1086</v>
      </c>
    </row>
    <row r="46" spans="1:22" x14ac:dyDescent="0.25">
      <c r="A46" t="s">
        <v>1223</v>
      </c>
      <c r="B46">
        <v>54600</v>
      </c>
      <c r="C46" t="s">
        <v>1168</v>
      </c>
      <c r="D46" s="16" t="s">
        <v>1244</v>
      </c>
      <c r="G46" s="16" t="s">
        <v>1244</v>
      </c>
      <c r="H46" s="16">
        <f t="shared" si="4"/>
        <v>54600</v>
      </c>
      <c r="R46" s="24">
        <v>43412</v>
      </c>
      <c r="S46" s="16">
        <v>1110</v>
      </c>
      <c r="T46" t="s">
        <v>1314</v>
      </c>
      <c r="U46" t="s">
        <v>1325</v>
      </c>
      <c r="V46" t="s">
        <v>1299</v>
      </c>
    </row>
    <row r="47" spans="1:22" x14ac:dyDescent="0.25">
      <c r="A47" t="s">
        <v>1224</v>
      </c>
      <c r="B47">
        <v>93509</v>
      </c>
      <c r="C47" t="s">
        <v>1233</v>
      </c>
      <c r="D47" s="16" t="s">
        <v>1245</v>
      </c>
      <c r="G47" s="16" t="s">
        <v>1245</v>
      </c>
      <c r="H47" s="16">
        <f t="shared" si="4"/>
        <v>93509</v>
      </c>
      <c r="R47" s="24">
        <v>43413</v>
      </c>
      <c r="S47" s="16">
        <v>1111</v>
      </c>
      <c r="T47" t="s">
        <v>1315</v>
      </c>
      <c r="U47" s="16" t="s">
        <v>1325</v>
      </c>
      <c r="V47" t="s">
        <v>1299</v>
      </c>
    </row>
    <row r="48" spans="1:22" x14ac:dyDescent="0.25">
      <c r="A48" t="s">
        <v>1225</v>
      </c>
      <c r="B48">
        <v>80105</v>
      </c>
      <c r="C48" t="s">
        <v>1168</v>
      </c>
      <c r="D48" s="16" t="s">
        <v>1246</v>
      </c>
      <c r="G48" s="16" t="s">
        <v>1246</v>
      </c>
      <c r="H48" s="16">
        <f t="shared" si="4"/>
        <v>80105</v>
      </c>
      <c r="J48" t="s">
        <v>1271</v>
      </c>
      <c r="K48" t="s">
        <v>1278</v>
      </c>
      <c r="L48" t="s">
        <v>1279</v>
      </c>
      <c r="M48" t="s">
        <v>1120</v>
      </c>
      <c r="R48" s="24">
        <v>43413</v>
      </c>
      <c r="S48" s="16">
        <v>1109</v>
      </c>
      <c r="T48" t="s">
        <v>1310</v>
      </c>
      <c r="U48" s="16" t="s">
        <v>1325</v>
      </c>
      <c r="V48" t="s">
        <v>1299</v>
      </c>
    </row>
    <row r="49" spans="1:22" x14ac:dyDescent="0.25">
      <c r="A49" t="s">
        <v>1007</v>
      </c>
      <c r="B49">
        <v>60802</v>
      </c>
      <c r="C49" t="s">
        <v>1165</v>
      </c>
      <c r="D49" s="16" t="s">
        <v>1247</v>
      </c>
      <c r="G49" s="16" t="s">
        <v>1247</v>
      </c>
      <c r="H49" s="16">
        <f t="shared" si="4"/>
        <v>60802</v>
      </c>
      <c r="J49" t="s">
        <v>1272</v>
      </c>
      <c r="K49" t="s">
        <v>1280</v>
      </c>
      <c r="L49" t="s">
        <v>1281</v>
      </c>
      <c r="M49" t="str">
        <f>CONCATENATE(K49," ",L49)</f>
        <v>Vishal Mohan</v>
      </c>
      <c r="R49" s="24">
        <v>43414</v>
      </c>
      <c r="S49" s="16">
        <v>1112</v>
      </c>
      <c r="T49" t="s">
        <v>1311</v>
      </c>
      <c r="U49" s="16" t="s">
        <v>1325</v>
      </c>
      <c r="V49" t="s">
        <v>1300</v>
      </c>
    </row>
    <row r="50" spans="1:22" x14ac:dyDescent="0.25">
      <c r="A50" t="s">
        <v>1010</v>
      </c>
      <c r="B50">
        <v>76260</v>
      </c>
      <c r="C50" t="s">
        <v>1</v>
      </c>
      <c r="D50" s="16" t="s">
        <v>1248</v>
      </c>
      <c r="G50" s="16" t="s">
        <v>1248</v>
      </c>
      <c r="H50" s="16">
        <f t="shared" si="4"/>
        <v>76260</v>
      </c>
      <c r="J50" s="16" t="s">
        <v>1273</v>
      </c>
      <c r="K50" t="s">
        <v>1192</v>
      </c>
      <c r="L50" t="s">
        <v>1282</v>
      </c>
      <c r="M50" s="16" t="str">
        <f t="shared" ref="M50:M54" si="5">CONCATENATE(K50," ",L50)</f>
        <v>John Mathew</v>
      </c>
      <c r="R50" s="24">
        <v>43414</v>
      </c>
      <c r="S50" s="16">
        <v>1113</v>
      </c>
      <c r="T50" t="s">
        <v>1312</v>
      </c>
      <c r="U50" s="16" t="s">
        <v>1325</v>
      </c>
      <c r="V50" t="s">
        <v>1301</v>
      </c>
    </row>
    <row r="51" spans="1:22" x14ac:dyDescent="0.25">
      <c r="A51" t="s">
        <v>1227</v>
      </c>
      <c r="B51">
        <v>88965</v>
      </c>
      <c r="C51" t="s">
        <v>936</v>
      </c>
      <c r="D51" s="16" t="s">
        <v>1249</v>
      </c>
      <c r="G51" s="16" t="s">
        <v>1249</v>
      </c>
      <c r="H51" s="16">
        <f t="shared" si="4"/>
        <v>88965</v>
      </c>
      <c r="J51" s="16" t="s">
        <v>1274</v>
      </c>
      <c r="K51" t="s">
        <v>1283</v>
      </c>
      <c r="L51" t="s">
        <v>1284</v>
      </c>
      <c r="M51" s="16" t="str">
        <f t="shared" si="5"/>
        <v>Jamemah Powel</v>
      </c>
      <c r="R51" s="24">
        <v>43414</v>
      </c>
      <c r="S51" s="16">
        <v>1114</v>
      </c>
      <c r="T51" t="s">
        <v>1313</v>
      </c>
      <c r="U51" s="16" t="s">
        <v>1325</v>
      </c>
      <c r="V51" t="s">
        <v>1301</v>
      </c>
    </row>
    <row r="52" spans="1:22" x14ac:dyDescent="0.25">
      <c r="A52" t="s">
        <v>1226</v>
      </c>
      <c r="B52">
        <v>63288</v>
      </c>
      <c r="C52" t="s">
        <v>1233</v>
      </c>
      <c r="D52" s="16" t="s">
        <v>1250</v>
      </c>
      <c r="G52" s="16" t="s">
        <v>1250</v>
      </c>
      <c r="H52" s="16">
        <f t="shared" si="4"/>
        <v>63288</v>
      </c>
      <c r="J52" s="16" t="s">
        <v>1275</v>
      </c>
      <c r="K52" t="s">
        <v>1285</v>
      </c>
      <c r="L52" t="s">
        <v>1286</v>
      </c>
      <c r="M52" s="16" t="str">
        <f t="shared" si="5"/>
        <v>Arundathi Swaminathan</v>
      </c>
      <c r="R52" s="24">
        <v>43414</v>
      </c>
      <c r="S52" s="16">
        <v>1115</v>
      </c>
      <c r="T52" t="s">
        <v>1316</v>
      </c>
      <c r="U52" s="16" t="s">
        <v>1325</v>
      </c>
      <c r="V52" t="s">
        <v>1302</v>
      </c>
    </row>
    <row r="53" spans="1:22" x14ac:dyDescent="0.25">
      <c r="A53" t="s">
        <v>1228</v>
      </c>
      <c r="B53">
        <v>45742</v>
      </c>
      <c r="C53" t="s">
        <v>1</v>
      </c>
      <c r="D53" s="16" t="s">
        <v>1251</v>
      </c>
      <c r="G53" s="16" t="s">
        <v>1251</v>
      </c>
      <c r="H53" s="16">
        <f t="shared" si="4"/>
        <v>45742</v>
      </c>
      <c r="J53" s="16" t="s">
        <v>1276</v>
      </c>
      <c r="K53" t="s">
        <v>1230</v>
      </c>
      <c r="L53" t="s">
        <v>1287</v>
      </c>
      <c r="M53" s="16" t="str">
        <f t="shared" si="5"/>
        <v>Peter Potter</v>
      </c>
      <c r="R53" s="24">
        <v>43415</v>
      </c>
      <c r="S53" s="16">
        <v>1109</v>
      </c>
      <c r="T53" t="s">
        <v>1310</v>
      </c>
      <c r="U53" s="16" t="s">
        <v>1325</v>
      </c>
      <c r="V53" t="s">
        <v>1299</v>
      </c>
    </row>
    <row r="54" spans="1:22" x14ac:dyDescent="0.25">
      <c r="A54" t="s">
        <v>1194</v>
      </c>
      <c r="B54">
        <v>88354</v>
      </c>
      <c r="C54" t="s">
        <v>1165</v>
      </c>
      <c r="D54" s="16" t="s">
        <v>1252</v>
      </c>
      <c r="G54" s="16" t="s">
        <v>1252</v>
      </c>
      <c r="H54" s="16">
        <f t="shared" si="4"/>
        <v>88354</v>
      </c>
      <c r="J54" s="16" t="s">
        <v>1277</v>
      </c>
      <c r="K54" t="s">
        <v>1288</v>
      </c>
      <c r="L54" t="s">
        <v>1289</v>
      </c>
      <c r="M54" s="16" t="str">
        <f t="shared" si="5"/>
        <v>Roger Williams</v>
      </c>
      <c r="R54" s="24">
        <v>43415</v>
      </c>
      <c r="S54" s="16">
        <v>1116</v>
      </c>
      <c r="T54" t="s">
        <v>1317</v>
      </c>
      <c r="U54" s="16" t="s">
        <v>1325</v>
      </c>
      <c r="V54" t="s">
        <v>1302</v>
      </c>
    </row>
    <row r="55" spans="1:22" x14ac:dyDescent="0.25">
      <c r="A55" t="s">
        <v>1229</v>
      </c>
      <c r="B55">
        <v>76641</v>
      </c>
      <c r="C55" t="s">
        <v>1165</v>
      </c>
      <c r="D55" s="16" t="s">
        <v>1253</v>
      </c>
      <c r="G55" s="16" t="s">
        <v>1253</v>
      </c>
      <c r="H55" s="16">
        <f t="shared" si="4"/>
        <v>76641</v>
      </c>
      <c r="R55" s="24">
        <v>43415</v>
      </c>
      <c r="S55" s="16">
        <v>1116</v>
      </c>
      <c r="T55" t="s">
        <v>1317</v>
      </c>
      <c r="U55" s="16" t="s">
        <v>1325</v>
      </c>
      <c r="V55" t="s">
        <v>1302</v>
      </c>
    </row>
    <row r="56" spans="1:22" x14ac:dyDescent="0.25">
      <c r="A56" t="s">
        <v>1230</v>
      </c>
      <c r="B56">
        <v>61678</v>
      </c>
      <c r="C56" t="s">
        <v>1</v>
      </c>
      <c r="D56" s="16" t="s">
        <v>1254</v>
      </c>
      <c r="G56" s="16" t="s">
        <v>1254</v>
      </c>
      <c r="H56" s="16">
        <f t="shared" si="4"/>
        <v>61678</v>
      </c>
    </row>
    <row r="58" spans="1:22" x14ac:dyDescent="0.25">
      <c r="Q58" t="s">
        <v>1326</v>
      </c>
      <c r="S58">
        <f>COUNTA(T37:T55)</f>
        <v>19</v>
      </c>
    </row>
    <row r="59" spans="1:22" x14ac:dyDescent="0.25">
      <c r="A59" t="s">
        <v>1255</v>
      </c>
      <c r="H59">
        <f>COUNTIF(C36:C56,"HR")</f>
        <v>1</v>
      </c>
      <c r="I59">
        <f>COUNTIF(C36:C56,"Marketing")</f>
        <v>5</v>
      </c>
      <c r="J59">
        <f>COUNTIF(C36:C56,"IT")</f>
        <v>3</v>
      </c>
      <c r="Q59" t="s">
        <v>1327</v>
      </c>
      <c r="S59">
        <f>COUNTIF(U37:U55,"SALES EXECUTIVE")</f>
        <v>11</v>
      </c>
    </row>
    <row r="60" spans="1:22" x14ac:dyDescent="0.25">
      <c r="A60" t="s">
        <v>1256</v>
      </c>
      <c r="D60">
        <f>SUMIF(A36:A56,"Santosh",B36:B56)</f>
        <v>93509</v>
      </c>
      <c r="Q60" t="s">
        <v>1328</v>
      </c>
      <c r="S60">
        <f>COUNTIFS(U37:U55,"SALES EXECUTIVE",V37:V55,"AMAZON")+COUNTIFS(U37:U55,"SALES EXECUTIVE",V37:V55,"MYNTRA")</f>
        <v>7</v>
      </c>
    </row>
    <row r="61" spans="1:22" x14ac:dyDescent="0.25">
      <c r="A61" t="s">
        <v>1257</v>
      </c>
      <c r="F61">
        <f>SUMIF(C36:C56,"IT",B36:B56)</f>
        <v>214479</v>
      </c>
      <c r="G61">
        <f>SUMIF(C36:C56,"Marketing",B36:B56)</f>
        <v>360325</v>
      </c>
      <c r="Q61" t="s">
        <v>807</v>
      </c>
      <c r="R61" t="s">
        <v>930</v>
      </c>
      <c r="S61" t="s">
        <v>1291</v>
      </c>
    </row>
    <row r="62" spans="1:22" x14ac:dyDescent="0.25">
      <c r="Q62" t="s">
        <v>1305</v>
      </c>
      <c r="R62" t="str">
        <f>VLOOKUP(Q62,T36:V55,2,FALSE)</f>
        <v>SME</v>
      </c>
      <c r="S62" t="str">
        <f>VLOOKUP(Q62,T36:V55,3,FALSE)</f>
        <v>MAILS</v>
      </c>
    </row>
    <row r="63" spans="1:22" x14ac:dyDescent="0.25">
      <c r="Q63" t="s">
        <v>1311</v>
      </c>
      <c r="R63" t="str">
        <f>VLOOKUP(Q63,T36:V55,2,FALSE)</f>
        <v>SALES EXECUTIVE</v>
      </c>
      <c r="S63" t="str">
        <f>VLOOKUP(Q63,T36:V55,3,FALSE)</f>
        <v>GROFFERS</v>
      </c>
    </row>
    <row r="65" spans="1:19" x14ac:dyDescent="0.25">
      <c r="A65" t="s">
        <v>998</v>
      </c>
      <c r="B65" s="34" t="s">
        <v>1039</v>
      </c>
      <c r="C65" s="34"/>
      <c r="D65" s="34"/>
      <c r="E65" s="34" t="s">
        <v>1098</v>
      </c>
      <c r="F65" s="34"/>
      <c r="G65" s="34"/>
    </row>
    <row r="66" spans="1:19" x14ac:dyDescent="0.25">
      <c r="A66" t="s">
        <v>807</v>
      </c>
      <c r="B66" t="s">
        <v>1346</v>
      </c>
      <c r="C66" t="s">
        <v>1000</v>
      </c>
      <c r="D66" t="s">
        <v>1002</v>
      </c>
      <c r="E66" t="s">
        <v>967</v>
      </c>
      <c r="F66" t="s">
        <v>1347</v>
      </c>
      <c r="G66" t="s">
        <v>293</v>
      </c>
      <c r="J66" t="s">
        <v>200</v>
      </c>
      <c r="K66" t="s">
        <v>34</v>
      </c>
      <c r="N66" t="s">
        <v>1366</v>
      </c>
      <c r="O66" t="s">
        <v>1372</v>
      </c>
      <c r="P66" t="s">
        <v>746</v>
      </c>
    </row>
    <row r="67" spans="1:19" x14ac:dyDescent="0.25">
      <c r="A67" t="s">
        <v>1348</v>
      </c>
      <c r="B67">
        <v>80</v>
      </c>
      <c r="C67">
        <v>75</v>
      </c>
      <c r="D67">
        <v>85</v>
      </c>
      <c r="E67">
        <f>SUM(B67:D67)</f>
        <v>240</v>
      </c>
      <c r="F67">
        <f>AVERAGE(B67:D67)</f>
        <v>80</v>
      </c>
      <c r="G67" t="str">
        <f>IF(F67&gt;70,"Excellent",IF(F67&gt;50,"Good","Bad"))</f>
        <v>Excellent</v>
      </c>
      <c r="J67" t="s">
        <v>4</v>
      </c>
      <c r="K67">
        <v>250</v>
      </c>
      <c r="N67" t="s">
        <v>1192</v>
      </c>
      <c r="O67" t="s">
        <v>1373</v>
      </c>
      <c r="P67">
        <v>90</v>
      </c>
    </row>
    <row r="68" spans="1:19" x14ac:dyDescent="0.25">
      <c r="A68" t="s">
        <v>1349</v>
      </c>
      <c r="B68">
        <v>50</v>
      </c>
      <c r="C68">
        <v>30</v>
      </c>
      <c r="D68">
        <v>40</v>
      </c>
      <c r="E68" s="16">
        <f t="shared" ref="E68:E76" si="6">SUM(B68:D68)</f>
        <v>120</v>
      </c>
      <c r="F68" s="16">
        <f t="shared" ref="F68:F76" si="7">AVERAGE(B68:D68)</f>
        <v>40</v>
      </c>
      <c r="G68" s="16" t="str">
        <f t="shared" ref="G68:G76" si="8">IF(F68&gt;70,"Excellent",IF(F68&gt;50,"Good","Bad"))</f>
        <v>Bad</v>
      </c>
      <c r="J68" t="s">
        <v>11</v>
      </c>
      <c r="K68">
        <v>110</v>
      </c>
      <c r="N68" t="s">
        <v>1367</v>
      </c>
      <c r="O68" t="s">
        <v>1374</v>
      </c>
      <c r="P68">
        <v>77</v>
      </c>
    </row>
    <row r="69" spans="1:19" x14ac:dyDescent="0.25">
      <c r="A69" t="s">
        <v>1190</v>
      </c>
      <c r="B69">
        <v>60</v>
      </c>
      <c r="C69">
        <v>70</v>
      </c>
      <c r="D69" t="s">
        <v>1355</v>
      </c>
      <c r="E69" s="16">
        <f t="shared" si="6"/>
        <v>130</v>
      </c>
      <c r="F69" s="16">
        <f t="shared" si="7"/>
        <v>65</v>
      </c>
      <c r="G69" s="16" t="str">
        <f t="shared" si="8"/>
        <v>Good</v>
      </c>
      <c r="J69" t="s">
        <v>13</v>
      </c>
      <c r="K69">
        <v>300</v>
      </c>
      <c r="N69" t="s">
        <v>1368</v>
      </c>
      <c r="O69" t="s">
        <v>1373</v>
      </c>
      <c r="P69">
        <v>80</v>
      </c>
    </row>
    <row r="70" spans="1:19" x14ac:dyDescent="0.25">
      <c r="A70" t="s">
        <v>1194</v>
      </c>
      <c r="B70">
        <v>90</v>
      </c>
      <c r="C70">
        <v>85</v>
      </c>
      <c r="D70">
        <v>95</v>
      </c>
      <c r="E70" s="16">
        <f t="shared" si="6"/>
        <v>270</v>
      </c>
      <c r="F70" s="16">
        <f t="shared" si="7"/>
        <v>90</v>
      </c>
      <c r="G70" s="16" t="str">
        <f t="shared" si="8"/>
        <v>Excellent</v>
      </c>
      <c r="J70" t="s">
        <v>7</v>
      </c>
      <c r="K70">
        <v>50</v>
      </c>
      <c r="N70" t="s">
        <v>1370</v>
      </c>
      <c r="O70" t="s">
        <v>1373</v>
      </c>
      <c r="P70">
        <v>65</v>
      </c>
    </row>
    <row r="71" spans="1:19" x14ac:dyDescent="0.25">
      <c r="A71" t="s">
        <v>1350</v>
      </c>
      <c r="B71">
        <v>20</v>
      </c>
      <c r="C71">
        <v>30</v>
      </c>
      <c r="D71" t="s">
        <v>1356</v>
      </c>
      <c r="E71" s="16">
        <f t="shared" si="6"/>
        <v>50</v>
      </c>
      <c r="F71" s="16">
        <f t="shared" si="7"/>
        <v>25</v>
      </c>
      <c r="G71" s="16" t="str">
        <f t="shared" si="8"/>
        <v>Bad</v>
      </c>
      <c r="J71" t="s">
        <v>10</v>
      </c>
      <c r="K71">
        <v>45</v>
      </c>
      <c r="N71" t="s">
        <v>1369</v>
      </c>
      <c r="O71" t="s">
        <v>1374</v>
      </c>
      <c r="P71">
        <v>45</v>
      </c>
    </row>
    <row r="72" spans="1:19" x14ac:dyDescent="0.25">
      <c r="A72" t="s">
        <v>1351</v>
      </c>
      <c r="B72">
        <v>40</v>
      </c>
      <c r="C72">
        <v>60</v>
      </c>
      <c r="D72">
        <v>80</v>
      </c>
      <c r="E72" s="16">
        <f t="shared" si="6"/>
        <v>180</v>
      </c>
      <c r="F72" s="16">
        <f t="shared" si="7"/>
        <v>60</v>
      </c>
      <c r="G72" s="16" t="str">
        <f t="shared" si="8"/>
        <v>Good</v>
      </c>
      <c r="J72" t="s">
        <v>11</v>
      </c>
      <c r="K72">
        <v>23</v>
      </c>
      <c r="N72" t="s">
        <v>1371</v>
      </c>
      <c r="O72" t="s">
        <v>1374</v>
      </c>
      <c r="P72">
        <v>55</v>
      </c>
    </row>
    <row r="73" spans="1:19" x14ac:dyDescent="0.25">
      <c r="A73" t="s">
        <v>1352</v>
      </c>
      <c r="B73">
        <v>10</v>
      </c>
      <c r="C73">
        <v>90</v>
      </c>
      <c r="D73">
        <v>80</v>
      </c>
      <c r="E73" s="16">
        <f t="shared" si="6"/>
        <v>180</v>
      </c>
      <c r="F73" s="16">
        <f t="shared" si="7"/>
        <v>60</v>
      </c>
      <c r="G73" s="16" t="str">
        <f t="shared" si="8"/>
        <v>Good</v>
      </c>
      <c r="J73" t="s">
        <v>1361</v>
      </c>
      <c r="K73">
        <v>25</v>
      </c>
      <c r="O73" t="s">
        <v>1376</v>
      </c>
    </row>
    <row r="74" spans="1:19" x14ac:dyDescent="0.25">
      <c r="A74" t="s">
        <v>1353</v>
      </c>
      <c r="B74">
        <v>80</v>
      </c>
      <c r="C74">
        <v>70</v>
      </c>
      <c r="D74">
        <v>60</v>
      </c>
      <c r="E74" s="16">
        <f t="shared" si="6"/>
        <v>210</v>
      </c>
      <c r="F74" s="16">
        <f t="shared" si="7"/>
        <v>70</v>
      </c>
      <c r="G74" s="16" t="str">
        <f t="shared" si="8"/>
        <v>Good</v>
      </c>
      <c r="J74" t="s">
        <v>4</v>
      </c>
      <c r="K74">
        <v>90</v>
      </c>
      <c r="N74" t="s">
        <v>1375</v>
      </c>
      <c r="O74">
        <f>AVERAGEIF(O67:O72,N74,P67:P72)</f>
        <v>78.333333333333329</v>
      </c>
    </row>
    <row r="75" spans="1:19" x14ac:dyDescent="0.25">
      <c r="A75" t="s">
        <v>1332</v>
      </c>
      <c r="B75">
        <v>30</v>
      </c>
      <c r="C75">
        <v>10</v>
      </c>
      <c r="D75">
        <v>20</v>
      </c>
      <c r="E75" s="16">
        <f t="shared" si="6"/>
        <v>60</v>
      </c>
      <c r="F75" s="16">
        <f t="shared" si="7"/>
        <v>20</v>
      </c>
      <c r="G75" s="16" t="str">
        <f t="shared" si="8"/>
        <v>Bad</v>
      </c>
      <c r="J75" t="s">
        <v>11</v>
      </c>
      <c r="K75">
        <v>450</v>
      </c>
      <c r="N75" t="s">
        <v>1374</v>
      </c>
      <c r="O75" s="16">
        <f>AVERAGEIF(O67:O72,N75,P67:P72)</f>
        <v>59</v>
      </c>
    </row>
    <row r="76" spans="1:19" x14ac:dyDescent="0.25">
      <c r="A76" t="s">
        <v>1354</v>
      </c>
      <c r="B76">
        <v>10</v>
      </c>
      <c r="C76">
        <v>20</v>
      </c>
      <c r="D76">
        <v>30</v>
      </c>
      <c r="E76" s="16">
        <f t="shared" si="6"/>
        <v>60</v>
      </c>
      <c r="F76" s="16">
        <f t="shared" si="7"/>
        <v>20</v>
      </c>
      <c r="G76" s="16" t="str">
        <f t="shared" si="8"/>
        <v>Bad</v>
      </c>
      <c r="J76" t="s">
        <v>10</v>
      </c>
      <c r="K76">
        <v>23</v>
      </c>
    </row>
    <row r="77" spans="1:19" x14ac:dyDescent="0.25">
      <c r="J77" t="s">
        <v>4</v>
      </c>
      <c r="K77">
        <v>250</v>
      </c>
    </row>
    <row r="78" spans="1:19" x14ac:dyDescent="0.25">
      <c r="A78" t="s">
        <v>1357</v>
      </c>
      <c r="C78">
        <f>COUNTA(A67:A76)</f>
        <v>10</v>
      </c>
      <c r="J78" t="s">
        <v>7</v>
      </c>
      <c r="K78">
        <v>25</v>
      </c>
    </row>
    <row r="79" spans="1:19" x14ac:dyDescent="0.25">
      <c r="A79" t="s">
        <v>1358</v>
      </c>
      <c r="F79">
        <f>COUNTIF(F67:F76,"&gt;50")</f>
        <v>6</v>
      </c>
      <c r="N79" t="s">
        <v>1377</v>
      </c>
      <c r="O79" t="s">
        <v>570</v>
      </c>
      <c r="P79" t="s">
        <v>1</v>
      </c>
      <c r="R79" t="s">
        <v>200</v>
      </c>
      <c r="S79" t="s">
        <v>34</v>
      </c>
    </row>
    <row r="80" spans="1:19" x14ac:dyDescent="0.25">
      <c r="A80" t="s">
        <v>1359</v>
      </c>
      <c r="E80">
        <f>SUMIF(A67:A76,"Bob",E67:E76)</f>
        <v>120</v>
      </c>
      <c r="F80">
        <f>SUMIF(A67:A76,"Eric",E67:E76)</f>
        <v>50</v>
      </c>
      <c r="J80" t="s">
        <v>1362</v>
      </c>
      <c r="K80">
        <f>AVERAGEIF(J67:J78,"B",K67:K78)</f>
        <v>37.5</v>
      </c>
      <c r="N80" t="s">
        <v>114</v>
      </c>
      <c r="O80" t="s">
        <v>302</v>
      </c>
      <c r="P80">
        <v>25000</v>
      </c>
      <c r="R80" t="s">
        <v>4</v>
      </c>
      <c r="S80">
        <v>250</v>
      </c>
    </row>
    <row r="81" spans="1:21" x14ac:dyDescent="0.25">
      <c r="A81" t="s">
        <v>1360</v>
      </c>
      <c r="F81">
        <f>COUNTIF(G67:G76,"Good")</f>
        <v>4</v>
      </c>
      <c r="G81">
        <f>COUNTIF(G67:G76,"Bad")</f>
        <v>4</v>
      </c>
      <c r="J81" s="16" t="s">
        <v>1363</v>
      </c>
      <c r="K81">
        <f>AVERAGEIF(J67:J78,"D",K67:K78)</f>
        <v>194.33333333333334</v>
      </c>
      <c r="N81" t="s">
        <v>5</v>
      </c>
      <c r="O81" t="s">
        <v>1378</v>
      </c>
      <c r="P81">
        <v>12000</v>
      </c>
      <c r="R81" t="s">
        <v>11</v>
      </c>
      <c r="S81">
        <v>110</v>
      </c>
    </row>
    <row r="82" spans="1:21" x14ac:dyDescent="0.25">
      <c r="J82" t="s">
        <v>1364</v>
      </c>
      <c r="K82">
        <f>AVERAGEIF(J67:J78,"C",K67:K78)</f>
        <v>34</v>
      </c>
      <c r="N82" t="s">
        <v>12</v>
      </c>
      <c r="O82" t="s">
        <v>300</v>
      </c>
      <c r="P82">
        <v>4200</v>
      </c>
      <c r="R82" t="s">
        <v>13</v>
      </c>
      <c r="S82">
        <v>300</v>
      </c>
    </row>
    <row r="83" spans="1:21" x14ac:dyDescent="0.25">
      <c r="J83" t="s">
        <v>1365</v>
      </c>
      <c r="K83">
        <f>AVERAGEIF(J67:J78,"A",K67:K78)</f>
        <v>196.66666666666666</v>
      </c>
      <c r="N83" t="s">
        <v>12</v>
      </c>
      <c r="O83" t="s">
        <v>1379</v>
      </c>
      <c r="P83">
        <v>5600</v>
      </c>
      <c r="R83" t="s">
        <v>7</v>
      </c>
      <c r="S83">
        <v>50</v>
      </c>
    </row>
    <row r="84" spans="1:21" x14ac:dyDescent="0.25">
      <c r="N84" t="s">
        <v>8</v>
      </c>
      <c r="O84" t="s">
        <v>1380</v>
      </c>
      <c r="P84">
        <v>15000</v>
      </c>
      <c r="R84" t="s">
        <v>10</v>
      </c>
      <c r="S84">
        <v>45</v>
      </c>
    </row>
    <row r="85" spans="1:21" x14ac:dyDescent="0.25">
      <c r="N85" t="s">
        <v>5</v>
      </c>
      <c r="O85" t="s">
        <v>1381</v>
      </c>
      <c r="P85">
        <v>7000</v>
      </c>
      <c r="R85" t="s">
        <v>11</v>
      </c>
      <c r="S85">
        <v>23</v>
      </c>
    </row>
    <row r="86" spans="1:21" x14ac:dyDescent="0.25">
      <c r="N86" t="s">
        <v>114</v>
      </c>
      <c r="O86" t="s">
        <v>1382</v>
      </c>
      <c r="P86">
        <v>5200</v>
      </c>
      <c r="R86" t="s">
        <v>1361</v>
      </c>
      <c r="S86">
        <v>25</v>
      </c>
    </row>
    <row r="87" spans="1:21" x14ac:dyDescent="0.25">
      <c r="N87" t="s">
        <v>12</v>
      </c>
      <c r="O87" t="s">
        <v>1383</v>
      </c>
      <c r="P87">
        <v>6000</v>
      </c>
      <c r="R87" t="s">
        <v>4</v>
      </c>
      <c r="S87">
        <v>90</v>
      </c>
    </row>
    <row r="88" spans="1:21" x14ac:dyDescent="0.25">
      <c r="N88" t="s">
        <v>8</v>
      </c>
      <c r="O88" t="s">
        <v>562</v>
      </c>
      <c r="P88">
        <v>8500</v>
      </c>
      <c r="R88" t="s">
        <v>11</v>
      </c>
      <c r="S88">
        <v>450</v>
      </c>
    </row>
    <row r="89" spans="1:21" x14ac:dyDescent="0.25">
      <c r="N89" t="s">
        <v>114</v>
      </c>
      <c r="O89" t="s">
        <v>301</v>
      </c>
      <c r="P89">
        <v>12000</v>
      </c>
      <c r="R89" t="s">
        <v>10</v>
      </c>
      <c r="S89">
        <v>23</v>
      </c>
    </row>
    <row r="90" spans="1:21" x14ac:dyDescent="0.25">
      <c r="N90" t="s">
        <v>12</v>
      </c>
      <c r="O90" t="s">
        <v>1384</v>
      </c>
      <c r="P90">
        <v>4300</v>
      </c>
      <c r="R90" t="s">
        <v>4</v>
      </c>
      <c r="S90">
        <v>250</v>
      </c>
    </row>
    <row r="91" spans="1:21" x14ac:dyDescent="0.25">
      <c r="N91" t="s">
        <v>8</v>
      </c>
      <c r="O91" t="s">
        <v>1385</v>
      </c>
      <c r="P91">
        <v>1200</v>
      </c>
      <c r="R91" t="s">
        <v>7</v>
      </c>
      <c r="S91">
        <v>25</v>
      </c>
    </row>
    <row r="93" spans="1:21" x14ac:dyDescent="0.25">
      <c r="N93" t="s">
        <v>1386</v>
      </c>
      <c r="P93">
        <f>AVERAGEIF(N80:N91,"West",P80:P91)</f>
        <v>8233.3333333333339</v>
      </c>
      <c r="R93" t="s">
        <v>1390</v>
      </c>
      <c r="U93">
        <f>AVERAGEIF(S80:S91,"&gt;250",S80:S91)</f>
        <v>375</v>
      </c>
    </row>
    <row r="94" spans="1:21" x14ac:dyDescent="0.25">
      <c r="N94" t="s">
        <v>1387</v>
      </c>
      <c r="P94">
        <f>AVERAGEIF(N80:N91,"East",P80:P91)</f>
        <v>9500</v>
      </c>
      <c r="R94" t="s">
        <v>1391</v>
      </c>
      <c r="U94">
        <f>AVERAGEIF(S80:S91,"&lt;100",S80:S91)</f>
        <v>40.142857142857146</v>
      </c>
    </row>
    <row r="95" spans="1:21" x14ac:dyDescent="0.25">
      <c r="N95" t="s">
        <v>1388</v>
      </c>
      <c r="P95">
        <f>AVERAGEIF(N80:N91,"North",P80:P91)</f>
        <v>5025</v>
      </c>
    </row>
    <row r="96" spans="1:21" x14ac:dyDescent="0.25">
      <c r="N96" t="s">
        <v>1389</v>
      </c>
      <c r="P96">
        <f>AVERAGEIF(N80:N91,"South",P80:P91)</f>
        <v>14066.666666666666</v>
      </c>
    </row>
  </sheetData>
  <mergeCells count="2">
    <mergeCell ref="B65:D65"/>
    <mergeCell ref="E65:G65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topLeftCell="A9" workbookViewId="0">
      <selection activeCell="R27" sqref="R27"/>
    </sheetView>
  </sheetViews>
  <sheetFormatPr defaultRowHeight="15" x14ac:dyDescent="0.25"/>
  <cols>
    <col min="2" max="2" width="12.140625" customWidth="1"/>
    <col min="4" max="4" width="12" customWidth="1"/>
  </cols>
  <sheetData>
    <row r="1" spans="1:16" x14ac:dyDescent="0.25">
      <c r="A1" t="s">
        <v>1271</v>
      </c>
      <c r="B1" t="s">
        <v>1278</v>
      </c>
      <c r="C1" t="s">
        <v>1279</v>
      </c>
      <c r="D1" t="s">
        <v>930</v>
      </c>
      <c r="E1" t="s">
        <v>1329</v>
      </c>
    </row>
    <row r="2" spans="1:16" x14ac:dyDescent="0.25">
      <c r="A2">
        <v>101</v>
      </c>
      <c r="B2" t="s">
        <v>1330</v>
      </c>
      <c r="C2" t="s">
        <v>1338</v>
      </c>
      <c r="D2" t="s">
        <v>1168</v>
      </c>
      <c r="E2" t="s">
        <v>571</v>
      </c>
    </row>
    <row r="3" spans="1:16" x14ac:dyDescent="0.25">
      <c r="A3" s="16">
        <v>102</v>
      </c>
      <c r="B3" t="s">
        <v>1331</v>
      </c>
      <c r="C3" t="s">
        <v>1339</v>
      </c>
      <c r="D3" t="s">
        <v>1165</v>
      </c>
      <c r="E3" t="s">
        <v>301</v>
      </c>
    </row>
    <row r="4" spans="1:16" x14ac:dyDescent="0.25">
      <c r="A4" s="16">
        <v>103</v>
      </c>
      <c r="B4" t="s">
        <v>1332</v>
      </c>
      <c r="C4" t="s">
        <v>1220</v>
      </c>
      <c r="D4" t="s">
        <v>1168</v>
      </c>
      <c r="E4" t="s">
        <v>301</v>
      </c>
    </row>
    <row r="5" spans="1:16" x14ac:dyDescent="0.25">
      <c r="A5" s="16">
        <v>104</v>
      </c>
      <c r="B5" t="s">
        <v>1194</v>
      </c>
      <c r="C5" t="s">
        <v>1228</v>
      </c>
      <c r="D5" t="s">
        <v>1165</v>
      </c>
      <c r="E5" t="s">
        <v>562</v>
      </c>
    </row>
    <row r="6" spans="1:16" x14ac:dyDescent="0.25">
      <c r="A6" s="16">
        <v>105</v>
      </c>
      <c r="B6" t="s">
        <v>1332</v>
      </c>
      <c r="C6" t="s">
        <v>1340</v>
      </c>
      <c r="D6" t="s">
        <v>1165</v>
      </c>
      <c r="E6" t="s">
        <v>571</v>
      </c>
    </row>
    <row r="7" spans="1:16" x14ac:dyDescent="0.25">
      <c r="A7" s="16">
        <v>106</v>
      </c>
      <c r="B7" t="s">
        <v>1333</v>
      </c>
      <c r="C7" t="s">
        <v>1341</v>
      </c>
      <c r="D7" t="s">
        <v>936</v>
      </c>
      <c r="E7" t="s">
        <v>562</v>
      </c>
    </row>
    <row r="8" spans="1:16" x14ac:dyDescent="0.25">
      <c r="A8" s="16">
        <v>107</v>
      </c>
      <c r="B8" t="s">
        <v>1334</v>
      </c>
      <c r="C8" t="s">
        <v>1342</v>
      </c>
      <c r="D8" t="s">
        <v>1168</v>
      </c>
      <c r="E8" t="s">
        <v>301</v>
      </c>
    </row>
    <row r="9" spans="1:16" x14ac:dyDescent="0.25">
      <c r="A9" s="16">
        <v>108</v>
      </c>
      <c r="B9" t="s">
        <v>1335</v>
      </c>
      <c r="C9" t="s">
        <v>1343</v>
      </c>
      <c r="D9" t="s">
        <v>1165</v>
      </c>
      <c r="E9" t="s">
        <v>571</v>
      </c>
    </row>
    <row r="10" spans="1:16" x14ac:dyDescent="0.25">
      <c r="A10" s="16">
        <v>109</v>
      </c>
      <c r="B10" t="s">
        <v>1336</v>
      </c>
      <c r="C10" t="s">
        <v>1344</v>
      </c>
      <c r="D10" t="s">
        <v>936</v>
      </c>
      <c r="E10" t="s">
        <v>301</v>
      </c>
    </row>
    <row r="11" spans="1:16" x14ac:dyDescent="0.25">
      <c r="A11" s="16">
        <v>110</v>
      </c>
      <c r="B11" t="s">
        <v>1337</v>
      </c>
      <c r="C11" t="s">
        <v>1345</v>
      </c>
      <c r="D11" t="s">
        <v>936</v>
      </c>
      <c r="E11" t="s">
        <v>562</v>
      </c>
    </row>
    <row r="13" spans="1:16" x14ac:dyDescent="0.25">
      <c r="K13" t="s">
        <v>1393</v>
      </c>
      <c r="L13" t="s">
        <v>1394</v>
      </c>
      <c r="M13" t="s">
        <v>1395</v>
      </c>
      <c r="O13" t="s">
        <v>2</v>
      </c>
      <c r="P13" t="s">
        <v>1396</v>
      </c>
    </row>
    <row r="14" spans="1:16" x14ac:dyDescent="0.25">
      <c r="A14" t="s">
        <v>1392</v>
      </c>
      <c r="B14" t="s">
        <v>1278</v>
      </c>
      <c r="C14" t="s">
        <v>1393</v>
      </c>
      <c r="D14" t="s">
        <v>2</v>
      </c>
      <c r="E14" t="s">
        <v>1231</v>
      </c>
      <c r="F14" t="s">
        <v>1394</v>
      </c>
      <c r="G14" t="s">
        <v>1395</v>
      </c>
      <c r="H14" t="s">
        <v>1396</v>
      </c>
      <c r="K14" t="s">
        <v>1</v>
      </c>
      <c r="L14">
        <v>100</v>
      </c>
      <c r="M14">
        <v>900</v>
      </c>
      <c r="O14" t="s">
        <v>1418</v>
      </c>
      <c r="P14">
        <v>100</v>
      </c>
    </row>
    <row r="15" spans="1:16" x14ac:dyDescent="0.25">
      <c r="A15">
        <v>1</v>
      </c>
      <c r="B15" t="s">
        <v>1397</v>
      </c>
      <c r="C15" t="s">
        <v>1</v>
      </c>
      <c r="D15" t="s">
        <v>1418</v>
      </c>
      <c r="E15">
        <v>15625</v>
      </c>
      <c r="F15">
        <f>VLOOKUP(C15,$K$13:$M$21,2,FALSE)</f>
        <v>100</v>
      </c>
      <c r="G15">
        <f>VLOOKUP(C15,$K$13:$M$21,3,FALSE)</f>
        <v>900</v>
      </c>
      <c r="H15">
        <f>VLOOKUP(D15,$O$13:$P$17,2,FALSE)</f>
        <v>100</v>
      </c>
      <c r="I15" t="str">
        <f>IF(E15&gt;15000,"A",IF(E15&gt;10000,"B","C"))</f>
        <v>A</v>
      </c>
      <c r="K15" t="s">
        <v>1413</v>
      </c>
      <c r="L15">
        <v>200</v>
      </c>
      <c r="M15">
        <v>800</v>
      </c>
      <c r="O15" t="s">
        <v>1421</v>
      </c>
      <c r="P15">
        <v>200</v>
      </c>
    </row>
    <row r="16" spans="1:16" x14ac:dyDescent="0.25">
      <c r="A16">
        <v>2</v>
      </c>
      <c r="B16" t="s">
        <v>1398</v>
      </c>
      <c r="C16" t="s">
        <v>1</v>
      </c>
      <c r="D16" t="s">
        <v>1419</v>
      </c>
      <c r="E16">
        <v>12500</v>
      </c>
      <c r="F16" s="16">
        <f t="shared" ref="F16:F31" si="0">VLOOKUP(C16,$K$13:$M$21,2,FALSE)</f>
        <v>100</v>
      </c>
      <c r="G16" s="16">
        <f t="shared" ref="G16:G31" si="1">VLOOKUP(C16,$K$13:$M$21,3,FALSE)</f>
        <v>900</v>
      </c>
      <c r="H16" s="16">
        <f t="shared" ref="H16:H31" si="2">VLOOKUP(D16,$O$13:$P$17,2,FALSE)</f>
        <v>300</v>
      </c>
      <c r="I16" s="16" t="str">
        <f t="shared" ref="I16:I31" si="3">IF(E16&gt;15000,"A",IF(E16&gt;10000,"B","C"))</f>
        <v>B</v>
      </c>
      <c r="K16" t="s">
        <v>1414</v>
      </c>
      <c r="L16">
        <v>300</v>
      </c>
      <c r="M16">
        <v>700</v>
      </c>
      <c r="O16" t="s">
        <v>1419</v>
      </c>
      <c r="P16">
        <v>300</v>
      </c>
    </row>
    <row r="17" spans="1:18" x14ac:dyDescent="0.25">
      <c r="A17">
        <v>3</v>
      </c>
      <c r="B17" t="s">
        <v>1399</v>
      </c>
      <c r="C17" t="s">
        <v>1413</v>
      </c>
      <c r="D17" t="s">
        <v>1418</v>
      </c>
      <c r="E17">
        <v>8750</v>
      </c>
      <c r="F17" s="16">
        <f t="shared" si="0"/>
        <v>200</v>
      </c>
      <c r="G17" s="16">
        <f t="shared" si="1"/>
        <v>800</v>
      </c>
      <c r="H17" s="16">
        <f t="shared" si="2"/>
        <v>100</v>
      </c>
      <c r="I17" s="16" t="str">
        <f t="shared" si="3"/>
        <v>C</v>
      </c>
      <c r="K17" t="s">
        <v>1168</v>
      </c>
      <c r="L17">
        <v>400</v>
      </c>
      <c r="M17">
        <v>600</v>
      </c>
      <c r="O17" t="s">
        <v>1420</v>
      </c>
      <c r="P17">
        <v>400</v>
      </c>
    </row>
    <row r="18" spans="1:18" x14ac:dyDescent="0.25">
      <c r="A18">
        <v>4</v>
      </c>
      <c r="B18" t="s">
        <v>1400</v>
      </c>
      <c r="C18" t="s">
        <v>1414</v>
      </c>
      <c r="D18" t="s">
        <v>1418</v>
      </c>
      <c r="E18">
        <v>15000</v>
      </c>
      <c r="F18" s="16">
        <f t="shared" si="0"/>
        <v>300</v>
      </c>
      <c r="G18" s="16">
        <f t="shared" si="1"/>
        <v>700</v>
      </c>
      <c r="H18" s="16">
        <f t="shared" si="2"/>
        <v>100</v>
      </c>
      <c r="I18" s="16" t="str">
        <f t="shared" si="3"/>
        <v>B</v>
      </c>
      <c r="K18" t="s">
        <v>1416</v>
      </c>
      <c r="L18">
        <v>500</v>
      </c>
      <c r="M18">
        <v>500</v>
      </c>
    </row>
    <row r="19" spans="1:18" x14ac:dyDescent="0.25">
      <c r="A19">
        <v>5</v>
      </c>
      <c r="B19" t="s">
        <v>1401</v>
      </c>
      <c r="C19" t="s">
        <v>1414</v>
      </c>
      <c r="D19" t="s">
        <v>1418</v>
      </c>
      <c r="E19">
        <v>8875</v>
      </c>
      <c r="F19" s="16">
        <f t="shared" si="0"/>
        <v>300</v>
      </c>
      <c r="G19" s="16">
        <f t="shared" si="1"/>
        <v>700</v>
      </c>
      <c r="H19" s="16">
        <f t="shared" si="2"/>
        <v>100</v>
      </c>
      <c r="I19" s="16" t="str">
        <f t="shared" si="3"/>
        <v>C</v>
      </c>
      <c r="K19" t="s">
        <v>1415</v>
      </c>
      <c r="L19">
        <v>600</v>
      </c>
      <c r="M19">
        <v>400</v>
      </c>
    </row>
    <row r="20" spans="1:18" x14ac:dyDescent="0.25">
      <c r="A20">
        <v>6</v>
      </c>
      <c r="B20" t="s">
        <v>1402</v>
      </c>
      <c r="C20" t="s">
        <v>1</v>
      </c>
      <c r="D20" t="s">
        <v>1418</v>
      </c>
      <c r="E20">
        <v>8875</v>
      </c>
      <c r="F20" s="16">
        <f t="shared" si="0"/>
        <v>100</v>
      </c>
      <c r="G20" s="16">
        <f t="shared" si="1"/>
        <v>900</v>
      </c>
      <c r="H20" s="16">
        <f t="shared" si="2"/>
        <v>100</v>
      </c>
      <c r="I20" s="16" t="str">
        <f t="shared" si="3"/>
        <v>C</v>
      </c>
      <c r="K20" t="s">
        <v>242</v>
      </c>
      <c r="L20">
        <v>700</v>
      </c>
      <c r="M20">
        <v>300</v>
      </c>
    </row>
    <row r="21" spans="1:18" x14ac:dyDescent="0.25">
      <c r="A21">
        <v>7</v>
      </c>
      <c r="B21" t="s">
        <v>1403</v>
      </c>
      <c r="C21" t="s">
        <v>1413</v>
      </c>
      <c r="D21" t="s">
        <v>1418</v>
      </c>
      <c r="E21">
        <v>10625</v>
      </c>
      <c r="F21" s="16">
        <f t="shared" si="0"/>
        <v>200</v>
      </c>
      <c r="G21" s="16">
        <f t="shared" si="1"/>
        <v>800</v>
      </c>
      <c r="H21" s="16">
        <f t="shared" si="2"/>
        <v>100</v>
      </c>
      <c r="I21" s="16" t="str">
        <f t="shared" si="3"/>
        <v>B</v>
      </c>
      <c r="K21" t="s">
        <v>1417</v>
      </c>
      <c r="L21">
        <v>800</v>
      </c>
      <c r="M21">
        <v>200</v>
      </c>
    </row>
    <row r="22" spans="1:18" x14ac:dyDescent="0.25">
      <c r="A22">
        <v>8</v>
      </c>
      <c r="B22" t="s">
        <v>1404</v>
      </c>
      <c r="C22" t="s">
        <v>1168</v>
      </c>
      <c r="D22" t="s">
        <v>1419</v>
      </c>
      <c r="E22">
        <v>11250</v>
      </c>
      <c r="F22" s="16">
        <f t="shared" si="0"/>
        <v>400</v>
      </c>
      <c r="G22" s="16">
        <f t="shared" si="1"/>
        <v>600</v>
      </c>
      <c r="H22" s="16">
        <f t="shared" si="2"/>
        <v>300</v>
      </c>
      <c r="I22" s="16" t="str">
        <f t="shared" si="3"/>
        <v>B</v>
      </c>
    </row>
    <row r="23" spans="1:18" x14ac:dyDescent="0.25">
      <c r="A23">
        <v>9</v>
      </c>
      <c r="B23" t="s">
        <v>1405</v>
      </c>
      <c r="C23" t="s">
        <v>1416</v>
      </c>
      <c r="D23" t="s">
        <v>1420</v>
      </c>
      <c r="E23">
        <v>10625</v>
      </c>
      <c r="F23" s="16">
        <f t="shared" si="0"/>
        <v>500</v>
      </c>
      <c r="G23" s="16">
        <f t="shared" si="1"/>
        <v>500</v>
      </c>
      <c r="H23" s="16">
        <f t="shared" si="2"/>
        <v>400</v>
      </c>
      <c r="I23" s="16" t="str">
        <f t="shared" si="3"/>
        <v>B</v>
      </c>
    </row>
    <row r="24" spans="1:18" x14ac:dyDescent="0.25">
      <c r="A24">
        <v>10</v>
      </c>
      <c r="B24" t="s">
        <v>1406</v>
      </c>
      <c r="C24" t="s">
        <v>1168</v>
      </c>
      <c r="D24" t="s">
        <v>1418</v>
      </c>
      <c r="E24">
        <v>15000</v>
      </c>
      <c r="F24" s="16">
        <f t="shared" si="0"/>
        <v>400</v>
      </c>
      <c r="G24" s="16">
        <f t="shared" si="1"/>
        <v>600</v>
      </c>
      <c r="H24" s="16">
        <f t="shared" si="2"/>
        <v>100</v>
      </c>
      <c r="I24" s="16" t="str">
        <f t="shared" si="3"/>
        <v>B</v>
      </c>
    </row>
    <row r="25" spans="1:18" x14ac:dyDescent="0.25">
      <c r="A25">
        <v>11</v>
      </c>
      <c r="B25" t="s">
        <v>1407</v>
      </c>
      <c r="C25" t="s">
        <v>1416</v>
      </c>
      <c r="D25" t="s">
        <v>1419</v>
      </c>
      <c r="E25">
        <v>13750</v>
      </c>
      <c r="F25" s="16">
        <f t="shared" si="0"/>
        <v>500</v>
      </c>
      <c r="G25" s="16">
        <f t="shared" si="1"/>
        <v>500</v>
      </c>
      <c r="H25" s="16">
        <f t="shared" si="2"/>
        <v>300</v>
      </c>
      <c r="I25" s="16" t="str">
        <f t="shared" si="3"/>
        <v>B</v>
      </c>
      <c r="K25" t="s">
        <v>1422</v>
      </c>
      <c r="Q25">
        <f>COUNTIF(C15:C31,"Sales")</f>
        <v>3</v>
      </c>
      <c r="R25">
        <f>COUNTIF(C15:C31,"Mktg")</f>
        <v>3</v>
      </c>
    </row>
    <row r="26" spans="1:18" x14ac:dyDescent="0.25">
      <c r="A26">
        <v>12</v>
      </c>
      <c r="B26" t="s">
        <v>1408</v>
      </c>
      <c r="C26" t="s">
        <v>1415</v>
      </c>
      <c r="D26" t="s">
        <v>1421</v>
      </c>
      <c r="E26">
        <v>35000</v>
      </c>
      <c r="F26" s="16">
        <f t="shared" si="0"/>
        <v>600</v>
      </c>
      <c r="G26" s="16">
        <f t="shared" si="1"/>
        <v>400</v>
      </c>
      <c r="H26" s="16">
        <f t="shared" si="2"/>
        <v>200</v>
      </c>
      <c r="I26" s="16" t="str">
        <f t="shared" si="3"/>
        <v>A</v>
      </c>
      <c r="K26" t="s">
        <v>1423</v>
      </c>
      <c r="P26">
        <f>SUMIF(C15:C31,"Sales",E15:E31)</f>
        <v>37000</v>
      </c>
    </row>
    <row r="27" spans="1:18" x14ac:dyDescent="0.25">
      <c r="A27">
        <v>13</v>
      </c>
      <c r="B27" t="s">
        <v>1409</v>
      </c>
      <c r="C27" t="s">
        <v>242</v>
      </c>
      <c r="D27" t="s">
        <v>1418</v>
      </c>
      <c r="E27">
        <v>10625</v>
      </c>
      <c r="F27" s="16">
        <f t="shared" si="0"/>
        <v>700</v>
      </c>
      <c r="G27" s="16">
        <f t="shared" si="1"/>
        <v>300</v>
      </c>
      <c r="H27" s="16">
        <f t="shared" si="2"/>
        <v>100</v>
      </c>
      <c r="I27" s="16" t="str">
        <f t="shared" si="3"/>
        <v>B</v>
      </c>
      <c r="K27" t="s">
        <v>1424</v>
      </c>
      <c r="R27" t="e">
        <f>SUMIFS(E15:E30,C15:C31,"Sales",D15:D31,"north")</f>
        <v>#VALUE!</v>
      </c>
    </row>
    <row r="28" spans="1:18" x14ac:dyDescent="0.25">
      <c r="A28">
        <v>14</v>
      </c>
      <c r="B28" t="s">
        <v>584</v>
      </c>
      <c r="C28" t="s">
        <v>242</v>
      </c>
      <c r="D28" t="s">
        <v>1418</v>
      </c>
      <c r="E28">
        <v>10625</v>
      </c>
      <c r="F28" s="16">
        <f t="shared" si="0"/>
        <v>700</v>
      </c>
      <c r="G28" s="16">
        <f t="shared" si="1"/>
        <v>300</v>
      </c>
      <c r="H28" s="16">
        <f t="shared" si="2"/>
        <v>100</v>
      </c>
      <c r="I28" s="16" t="str">
        <f t="shared" si="3"/>
        <v>B</v>
      </c>
      <c r="K28" t="s">
        <v>1425</v>
      </c>
      <c r="R28">
        <f>COUNTIFS(C15:C31,"Sales",D15:D31,"north")</f>
        <v>2</v>
      </c>
    </row>
    <row r="29" spans="1:18" x14ac:dyDescent="0.25">
      <c r="A29">
        <v>15</v>
      </c>
      <c r="B29" t="s">
        <v>1410</v>
      </c>
      <c r="C29" t="s">
        <v>1416</v>
      </c>
      <c r="D29" t="s">
        <v>1419</v>
      </c>
      <c r="E29">
        <v>11250</v>
      </c>
      <c r="F29" s="16">
        <f t="shared" si="0"/>
        <v>500</v>
      </c>
      <c r="G29" s="16">
        <f t="shared" si="1"/>
        <v>500</v>
      </c>
      <c r="H29" s="16">
        <f t="shared" si="2"/>
        <v>300</v>
      </c>
      <c r="I29" s="16" t="str">
        <f t="shared" si="3"/>
        <v>B</v>
      </c>
      <c r="K29" t="s">
        <v>1426</v>
      </c>
    </row>
    <row r="30" spans="1:18" x14ac:dyDescent="0.25">
      <c r="A30">
        <v>16</v>
      </c>
      <c r="B30" t="s">
        <v>1411</v>
      </c>
      <c r="C30" t="s">
        <v>1416</v>
      </c>
      <c r="D30" t="s">
        <v>1420</v>
      </c>
      <c r="E30">
        <v>11250</v>
      </c>
      <c r="F30" s="16">
        <f t="shared" si="0"/>
        <v>500</v>
      </c>
      <c r="G30" s="16">
        <f t="shared" si="1"/>
        <v>500</v>
      </c>
      <c r="H30" s="16">
        <f t="shared" si="2"/>
        <v>400</v>
      </c>
      <c r="I30" s="16" t="str">
        <f t="shared" si="3"/>
        <v>B</v>
      </c>
    </row>
    <row r="31" spans="1:18" x14ac:dyDescent="0.25">
      <c r="A31">
        <v>17</v>
      </c>
      <c r="B31" t="s">
        <v>1412</v>
      </c>
      <c r="C31" t="s">
        <v>1413</v>
      </c>
      <c r="D31" t="s">
        <v>1418</v>
      </c>
      <c r="E31">
        <v>7500</v>
      </c>
      <c r="F31" s="16">
        <f t="shared" si="0"/>
        <v>200</v>
      </c>
      <c r="G31" s="16">
        <f t="shared" si="1"/>
        <v>800</v>
      </c>
      <c r="H31" s="16">
        <f t="shared" si="2"/>
        <v>100</v>
      </c>
      <c r="I31" s="16" t="str">
        <f t="shared" si="3"/>
        <v>C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J28" sqref="J28"/>
    </sheetView>
  </sheetViews>
  <sheetFormatPr defaultRowHeight="15" x14ac:dyDescent="0.25"/>
  <cols>
    <col min="2" max="3" width="11.7109375" customWidth="1"/>
    <col min="4" max="4" width="13" customWidth="1"/>
  </cols>
  <sheetData>
    <row r="1" spans="1:5" x14ac:dyDescent="0.25">
      <c r="A1" s="16" t="s">
        <v>1271</v>
      </c>
      <c r="B1" s="16" t="s">
        <v>1278</v>
      </c>
      <c r="C1" s="16" t="s">
        <v>1279</v>
      </c>
      <c r="D1" s="16" t="s">
        <v>930</v>
      </c>
      <c r="E1" s="16" t="s">
        <v>1329</v>
      </c>
    </row>
    <row r="2" spans="1:5" x14ac:dyDescent="0.25">
      <c r="A2" s="16">
        <v>101</v>
      </c>
      <c r="B2" t="str">
        <f>VLOOKUP(A2,'Vlookup Table'!$A$1:$E$11,2,FALSE)</f>
        <v xml:space="preserve">Donald </v>
      </c>
      <c r="C2" t="str">
        <f>VLOOKUP(A2,'Vlookup Table'!$A$1:$E$11,3,FALSE)</f>
        <v>Patrick</v>
      </c>
      <c r="D2" t="str">
        <f>VLOOKUP(A2,'Vlookup Table'!$A$1:E11,4,FALSE)</f>
        <v>Finance</v>
      </c>
      <c r="E2" t="str">
        <f>VLOOKUP(A2,'Vlookup Table'!$A$1:$E$11,5,FALSE)</f>
        <v>Bangalore</v>
      </c>
    </row>
    <row r="3" spans="1:5" x14ac:dyDescent="0.25">
      <c r="A3" s="16">
        <v>102</v>
      </c>
      <c r="B3" s="16" t="str">
        <f>VLOOKUP(A3,'Vlookup Table'!$A$1:$E$11,2,FALSE)</f>
        <v>Samuel</v>
      </c>
      <c r="C3" s="16" t="str">
        <f>VLOOKUP(A3,'Vlookup Table'!$A$1:$E$11,3,FALSE)</f>
        <v>Samson</v>
      </c>
      <c r="D3" s="16" t="str">
        <f>VLOOKUP(A3,'Vlookup Table'!$A$1:E12,4,FALSE)</f>
        <v>Marketing</v>
      </c>
      <c r="E3" s="16" t="str">
        <f>VLOOKUP(A3,'Vlookup Table'!$A$1:$E$11,5,FALSE)</f>
        <v>Hyderabad</v>
      </c>
    </row>
    <row r="4" spans="1:5" x14ac:dyDescent="0.25">
      <c r="A4" s="16">
        <v>103</v>
      </c>
      <c r="B4" s="16" t="str">
        <f>VLOOKUP(A4,'Vlookup Table'!$A$1:$E$11,2,FALSE)</f>
        <v>Ian</v>
      </c>
      <c r="C4" s="16" t="str">
        <f>VLOOKUP(A4,'Vlookup Table'!$A$1:$E$11,3,FALSE)</f>
        <v>Jacob</v>
      </c>
      <c r="D4" s="16" t="str">
        <f>VLOOKUP(A4,'Vlookup Table'!$A$1:E13,4,FALSE)</f>
        <v>Finance</v>
      </c>
      <c r="E4" s="16" t="str">
        <f>VLOOKUP(A4,'Vlookup Table'!$A$1:$E$11,5,FALSE)</f>
        <v>Hyderabad</v>
      </c>
    </row>
    <row r="5" spans="1:5" x14ac:dyDescent="0.25">
      <c r="A5" s="16">
        <v>104</v>
      </c>
      <c r="B5" s="16" t="str">
        <f>VLOOKUP(A5,'Vlookup Table'!$A$1:$E$11,2,FALSE)</f>
        <v>David</v>
      </c>
      <c r="C5" s="16" t="str">
        <f>VLOOKUP(A5,'Vlookup Table'!$A$1:$E$11,3,FALSE)</f>
        <v>Johnson</v>
      </c>
      <c r="D5" s="16" t="str">
        <f>VLOOKUP(A5,'Vlookup Table'!$A$1:E14,4,FALSE)</f>
        <v>Marketing</v>
      </c>
      <c r="E5" s="16" t="str">
        <f>VLOOKUP(A5,'Vlookup Table'!$A$1:$E$11,5,FALSE)</f>
        <v>Pune</v>
      </c>
    </row>
    <row r="6" spans="1:5" x14ac:dyDescent="0.25">
      <c r="A6" s="16">
        <v>105</v>
      </c>
      <c r="B6" s="16" t="str">
        <f>VLOOKUP(A6,'Vlookup Table'!$A$1:$E$11,2,FALSE)</f>
        <v>Ian</v>
      </c>
      <c r="C6" s="16" t="str">
        <f>VLOOKUP(A6,'Vlookup Table'!$A$1:$E$11,3,FALSE)</f>
        <v>Smith</v>
      </c>
      <c r="D6" s="16" t="str">
        <f>VLOOKUP(A6,'Vlookup Table'!$A$1:E15,4,FALSE)</f>
        <v>Marketing</v>
      </c>
      <c r="E6" s="16" t="str">
        <f>VLOOKUP(A6,'Vlookup Table'!$A$1:$E$11,5,FALSE)</f>
        <v>Bangalore</v>
      </c>
    </row>
    <row r="7" spans="1:5" x14ac:dyDescent="0.25">
      <c r="A7" s="16">
        <v>106</v>
      </c>
      <c r="B7" s="16" t="str">
        <f>VLOOKUP(A7,'Vlookup Table'!$A$1:$E$11,2,FALSE)</f>
        <v>Henry</v>
      </c>
      <c r="C7" s="16" t="str">
        <f>VLOOKUP(A7,'Vlookup Table'!$A$1:$E$11,3,FALSE)</f>
        <v>Madrid</v>
      </c>
      <c r="D7" s="16" t="str">
        <f>VLOOKUP(A7,'Vlookup Table'!$A$1:E16,4,FALSE)</f>
        <v>IT</v>
      </c>
      <c r="E7" s="16" t="str">
        <f>VLOOKUP(A7,'Vlookup Table'!$A$1:$E$11,5,FALSE)</f>
        <v>Pune</v>
      </c>
    </row>
    <row r="8" spans="1:5" x14ac:dyDescent="0.25">
      <c r="A8" s="16">
        <v>107</v>
      </c>
      <c r="B8" s="16" t="str">
        <f>VLOOKUP(A8,'Vlookup Table'!$A$1:$E$11,2,FALSE)</f>
        <v>Ronica</v>
      </c>
      <c r="C8" s="16" t="str">
        <f>VLOOKUP(A8,'Vlookup Table'!$A$1:$E$11,3,FALSE)</f>
        <v>Brave</v>
      </c>
      <c r="D8" s="16" t="str">
        <f>VLOOKUP(A8,'Vlookup Table'!$A$1:E17,4,FALSE)</f>
        <v>Finance</v>
      </c>
      <c r="E8" s="16" t="str">
        <f>VLOOKUP(A8,'Vlookup Table'!$A$1:$E$11,5,FALSE)</f>
        <v>Hyderabad</v>
      </c>
    </row>
    <row r="9" spans="1:5" x14ac:dyDescent="0.25">
      <c r="A9" s="16">
        <v>108</v>
      </c>
      <c r="B9" s="16" t="str">
        <f>VLOOKUP(A9,'Vlookup Table'!$A$1:$E$11,2,FALSE)</f>
        <v>Christine</v>
      </c>
      <c r="C9" s="16" t="str">
        <f>VLOOKUP(A9,'Vlookup Table'!$A$1:$E$11,3,FALSE)</f>
        <v>Salvi</v>
      </c>
      <c r="D9" s="16" t="str">
        <f>VLOOKUP(A9,'Vlookup Table'!$A$1:E18,4,FALSE)</f>
        <v>Marketing</v>
      </c>
      <c r="E9" s="16" t="str">
        <f>VLOOKUP(A9,'Vlookup Table'!$A$1:$E$11,5,FALSE)</f>
        <v>Bangalore</v>
      </c>
    </row>
    <row r="10" spans="1:5" x14ac:dyDescent="0.25">
      <c r="A10" s="16">
        <v>109</v>
      </c>
      <c r="B10" s="16" t="str">
        <f>VLOOKUP(A10,'Vlookup Table'!$A$1:$E$11,2,FALSE)</f>
        <v>Andrew</v>
      </c>
      <c r="C10" s="16" t="str">
        <f>VLOOKUP(A10,'Vlookup Table'!$A$1:$E$11,3,FALSE)</f>
        <v>Baisley</v>
      </c>
      <c r="D10" s="16" t="str">
        <f>VLOOKUP(A10,'Vlookup Table'!$A$1:E19,4,FALSE)</f>
        <v>IT</v>
      </c>
      <c r="E10" s="16" t="str">
        <f>VLOOKUP(A10,'Vlookup Table'!$A$1:$E$11,5,FALSE)</f>
        <v>Hyderabad</v>
      </c>
    </row>
    <row r="11" spans="1:5" x14ac:dyDescent="0.25">
      <c r="A11" s="16">
        <v>110</v>
      </c>
      <c r="B11" s="16" t="str">
        <f>VLOOKUP(A11,'Vlookup Table'!$A$1:$E$11,2,FALSE)</f>
        <v>Erica</v>
      </c>
      <c r="C11" s="16" t="str">
        <f>VLOOKUP(A11,'Vlookup Table'!$A$1:$E$11,3,FALSE)</f>
        <v>Irons</v>
      </c>
      <c r="D11" s="16" t="str">
        <f>VLOOKUP(A11,'Vlookup Table'!$A$1:E20,4,FALSE)</f>
        <v>IT</v>
      </c>
      <c r="E11" s="16" t="str">
        <f>VLOOKUP(A11,'Vlookup Table'!$A$1:$E$11,5,FALSE)</f>
        <v>Pune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tabSelected="1" topLeftCell="A3" workbookViewId="0">
      <selection activeCell="J6" sqref="J6"/>
    </sheetView>
  </sheetViews>
  <sheetFormatPr defaultRowHeight="15" x14ac:dyDescent="0.25"/>
  <cols>
    <col min="5" max="5" width="10.42578125" bestFit="1" customWidth="1"/>
  </cols>
  <sheetData>
    <row r="1" spans="1:17" x14ac:dyDescent="0.25">
      <c r="A1" t="s">
        <v>1427</v>
      </c>
      <c r="B1" t="s">
        <v>0</v>
      </c>
      <c r="C1" t="s">
        <v>33</v>
      </c>
      <c r="D1" t="s">
        <v>1428</v>
      </c>
      <c r="E1" t="s">
        <v>593</v>
      </c>
      <c r="F1" t="s">
        <v>898</v>
      </c>
    </row>
    <row r="2" spans="1:17" x14ac:dyDescent="0.25">
      <c r="A2">
        <v>1</v>
      </c>
      <c r="B2" t="s">
        <v>1429</v>
      </c>
      <c r="C2" t="s">
        <v>1435</v>
      </c>
      <c r="D2">
        <v>4270</v>
      </c>
      <c r="E2" s="24">
        <v>42375</v>
      </c>
      <c r="F2" t="s">
        <v>1197</v>
      </c>
    </row>
    <row r="3" spans="1:17" x14ac:dyDescent="0.25">
      <c r="A3">
        <v>2</v>
      </c>
      <c r="B3" t="s">
        <v>1430</v>
      </c>
      <c r="C3" t="s">
        <v>1435</v>
      </c>
      <c r="D3">
        <v>8239</v>
      </c>
      <c r="E3" s="24">
        <v>42376</v>
      </c>
      <c r="F3" t="s">
        <v>1198</v>
      </c>
      <c r="J3" t="s">
        <v>1441</v>
      </c>
      <c r="O3">
        <f>COUNTIF(C2:C31,"Fruit")</f>
        <v>18</v>
      </c>
      <c r="P3">
        <f>COUNTIF(C2:C31,"Vegetables")</f>
        <v>12</v>
      </c>
      <c r="Q3">
        <f>COUNTIFS(C2:C31,"Fruit",C2:C31,"Vegetables")</f>
        <v>0</v>
      </c>
    </row>
    <row r="4" spans="1:17" x14ac:dyDescent="0.25">
      <c r="A4">
        <v>3</v>
      </c>
      <c r="B4" t="s">
        <v>1431</v>
      </c>
      <c r="C4" t="s">
        <v>1436</v>
      </c>
      <c r="D4">
        <v>617</v>
      </c>
      <c r="E4" s="24">
        <v>42377</v>
      </c>
      <c r="F4" t="s">
        <v>1197</v>
      </c>
      <c r="J4" t="s">
        <v>1442</v>
      </c>
      <c r="N4">
        <f>SUMIF(B2:B31,"Apple",D2:D31)</f>
        <v>25557</v>
      </c>
      <c r="O4">
        <f>SUMIF(B2:B31,"Banana",D2:D31)</f>
        <v>38956</v>
      </c>
    </row>
    <row r="5" spans="1:17" x14ac:dyDescent="0.25">
      <c r="A5">
        <v>4</v>
      </c>
      <c r="B5" t="s">
        <v>1431</v>
      </c>
      <c r="C5" t="s">
        <v>1436</v>
      </c>
      <c r="D5">
        <v>8384</v>
      </c>
      <c r="E5" s="24">
        <v>42379</v>
      </c>
      <c r="F5" t="s">
        <v>1199</v>
      </c>
      <c r="J5" t="s">
        <v>1443</v>
      </c>
      <c r="N5">
        <f>COUNTA(B2:B31)</f>
        <v>30</v>
      </c>
    </row>
    <row r="6" spans="1:17" x14ac:dyDescent="0.25">
      <c r="A6">
        <v>5</v>
      </c>
      <c r="B6" t="s">
        <v>1432</v>
      </c>
      <c r="C6" t="s">
        <v>1435</v>
      </c>
      <c r="D6">
        <v>2626</v>
      </c>
      <c r="E6" s="24">
        <v>42379</v>
      </c>
      <c r="F6" t="s">
        <v>1437</v>
      </c>
    </row>
    <row r="7" spans="1:17" x14ac:dyDescent="0.25">
      <c r="A7">
        <v>6</v>
      </c>
      <c r="B7" t="s">
        <v>1433</v>
      </c>
      <c r="C7" t="s">
        <v>1436</v>
      </c>
      <c r="D7">
        <v>3610</v>
      </c>
      <c r="E7" s="24">
        <v>42380</v>
      </c>
      <c r="F7" t="s">
        <v>1197</v>
      </c>
    </row>
    <row r="8" spans="1:17" x14ac:dyDescent="0.25">
      <c r="A8">
        <v>7</v>
      </c>
      <c r="B8" t="s">
        <v>1430</v>
      </c>
      <c r="C8" t="s">
        <v>1435</v>
      </c>
      <c r="D8">
        <v>9062</v>
      </c>
      <c r="E8" s="24">
        <v>42380</v>
      </c>
      <c r="F8" t="s">
        <v>1200</v>
      </c>
    </row>
    <row r="9" spans="1:17" x14ac:dyDescent="0.25">
      <c r="A9">
        <v>8</v>
      </c>
      <c r="B9" t="s">
        <v>1431</v>
      </c>
      <c r="C9" t="s">
        <v>1436</v>
      </c>
      <c r="D9">
        <v>6906</v>
      </c>
      <c r="E9" s="24">
        <v>42385</v>
      </c>
      <c r="F9" t="s">
        <v>1438</v>
      </c>
    </row>
    <row r="10" spans="1:17" x14ac:dyDescent="0.25">
      <c r="A10">
        <v>9</v>
      </c>
      <c r="B10" t="s">
        <v>1434</v>
      </c>
      <c r="C10" t="s">
        <v>1436</v>
      </c>
      <c r="D10">
        <v>2417</v>
      </c>
      <c r="E10" s="24">
        <v>42385</v>
      </c>
      <c r="F10" t="s">
        <v>1439</v>
      </c>
    </row>
    <row r="11" spans="1:17" x14ac:dyDescent="0.25">
      <c r="A11">
        <v>10</v>
      </c>
      <c r="B11" t="s">
        <v>1434</v>
      </c>
      <c r="C11" t="s">
        <v>1436</v>
      </c>
      <c r="D11">
        <v>7431</v>
      </c>
      <c r="E11" s="24">
        <v>42385</v>
      </c>
      <c r="F11" t="s">
        <v>1199</v>
      </c>
    </row>
    <row r="12" spans="1:17" x14ac:dyDescent="0.25">
      <c r="A12">
        <v>11</v>
      </c>
      <c r="B12" t="s">
        <v>1431</v>
      </c>
      <c r="C12" t="s">
        <v>1436</v>
      </c>
      <c r="D12">
        <v>8250</v>
      </c>
      <c r="E12" s="24">
        <v>42385</v>
      </c>
      <c r="F12" t="s">
        <v>1437</v>
      </c>
    </row>
    <row r="13" spans="1:17" x14ac:dyDescent="0.25">
      <c r="A13">
        <v>12</v>
      </c>
      <c r="B13" t="s">
        <v>1430</v>
      </c>
      <c r="C13" t="s">
        <v>1435</v>
      </c>
      <c r="D13">
        <v>7012</v>
      </c>
      <c r="E13" s="24">
        <v>42387</v>
      </c>
      <c r="F13" t="s">
        <v>1197</v>
      </c>
    </row>
    <row r="14" spans="1:17" x14ac:dyDescent="0.25">
      <c r="A14">
        <v>13</v>
      </c>
      <c r="B14" t="s">
        <v>1429</v>
      </c>
      <c r="C14" t="s">
        <v>1435</v>
      </c>
      <c r="D14">
        <v>1903</v>
      </c>
      <c r="E14" s="24">
        <v>42389</v>
      </c>
      <c r="F14" t="s">
        <v>1437</v>
      </c>
    </row>
    <row r="15" spans="1:17" x14ac:dyDescent="0.25">
      <c r="A15">
        <v>14</v>
      </c>
      <c r="B15" t="s">
        <v>1430</v>
      </c>
      <c r="C15" t="s">
        <v>1435</v>
      </c>
      <c r="D15">
        <v>2824</v>
      </c>
      <c r="E15" s="24">
        <v>42391</v>
      </c>
      <c r="F15" t="s">
        <v>1199</v>
      </c>
    </row>
    <row r="16" spans="1:17" x14ac:dyDescent="0.25">
      <c r="A16" s="16">
        <v>15</v>
      </c>
      <c r="B16" t="s">
        <v>1434</v>
      </c>
      <c r="C16" t="s">
        <v>1436</v>
      </c>
      <c r="D16">
        <v>6946</v>
      </c>
      <c r="E16" s="24">
        <v>42393</v>
      </c>
      <c r="F16" t="s">
        <v>1439</v>
      </c>
    </row>
    <row r="17" spans="1:6" x14ac:dyDescent="0.25">
      <c r="A17" s="16">
        <v>16</v>
      </c>
      <c r="B17" t="s">
        <v>1431</v>
      </c>
      <c r="C17" t="s">
        <v>1436</v>
      </c>
      <c r="D17">
        <v>2320</v>
      </c>
      <c r="E17" s="24">
        <v>42396</v>
      </c>
      <c r="F17" t="s">
        <v>1198</v>
      </c>
    </row>
    <row r="18" spans="1:6" x14ac:dyDescent="0.25">
      <c r="A18" s="16">
        <v>17</v>
      </c>
      <c r="B18" t="s">
        <v>1431</v>
      </c>
      <c r="C18" t="s">
        <v>1436</v>
      </c>
      <c r="D18">
        <v>2116</v>
      </c>
      <c r="E18" s="24">
        <v>42397</v>
      </c>
      <c r="F18" t="s">
        <v>1197</v>
      </c>
    </row>
    <row r="19" spans="1:6" x14ac:dyDescent="0.25">
      <c r="A19" s="16">
        <v>18</v>
      </c>
      <c r="B19" t="s">
        <v>1431</v>
      </c>
      <c r="C19" t="s">
        <v>1436</v>
      </c>
      <c r="D19">
        <v>1135</v>
      </c>
      <c r="E19" s="24">
        <v>42399</v>
      </c>
      <c r="F19" t="s">
        <v>1198</v>
      </c>
    </row>
    <row r="20" spans="1:6" x14ac:dyDescent="0.25">
      <c r="A20" s="16">
        <v>19</v>
      </c>
      <c r="B20" t="s">
        <v>1430</v>
      </c>
      <c r="C20" t="s">
        <v>1435</v>
      </c>
      <c r="D20">
        <v>3595</v>
      </c>
      <c r="E20" s="24">
        <v>42399</v>
      </c>
      <c r="F20" t="s">
        <v>1198</v>
      </c>
    </row>
    <row r="21" spans="1:6" x14ac:dyDescent="0.25">
      <c r="A21" s="16">
        <v>20</v>
      </c>
      <c r="B21" t="s">
        <v>1434</v>
      </c>
      <c r="C21" t="s">
        <v>1436</v>
      </c>
      <c r="D21">
        <v>1161</v>
      </c>
      <c r="E21" s="24">
        <v>42402</v>
      </c>
      <c r="F21" t="s">
        <v>1197</v>
      </c>
    </row>
    <row r="22" spans="1:6" x14ac:dyDescent="0.25">
      <c r="A22" s="16">
        <v>21</v>
      </c>
      <c r="B22" t="s">
        <v>1433</v>
      </c>
      <c r="C22" t="s">
        <v>1436</v>
      </c>
      <c r="D22">
        <v>2256</v>
      </c>
      <c r="E22" s="24">
        <v>42404</v>
      </c>
      <c r="F22" t="s">
        <v>1439</v>
      </c>
    </row>
    <row r="23" spans="1:6" x14ac:dyDescent="0.25">
      <c r="A23" s="16">
        <v>22</v>
      </c>
      <c r="B23" t="s">
        <v>1431</v>
      </c>
      <c r="C23" t="s">
        <v>1436</v>
      </c>
      <c r="D23">
        <v>1004</v>
      </c>
      <c r="E23" s="24">
        <v>42411</v>
      </c>
      <c r="F23" t="s">
        <v>1438</v>
      </c>
    </row>
    <row r="24" spans="1:6" x14ac:dyDescent="0.25">
      <c r="A24" s="16">
        <v>23</v>
      </c>
      <c r="B24" t="s">
        <v>1431</v>
      </c>
      <c r="C24" t="s">
        <v>1436</v>
      </c>
      <c r="D24">
        <v>3642</v>
      </c>
      <c r="E24" s="24">
        <v>42414</v>
      </c>
      <c r="F24" t="s">
        <v>1199</v>
      </c>
    </row>
    <row r="25" spans="1:6" x14ac:dyDescent="0.25">
      <c r="A25" s="16">
        <v>24</v>
      </c>
      <c r="B25" t="s">
        <v>1431</v>
      </c>
      <c r="C25" t="s">
        <v>1436</v>
      </c>
      <c r="D25">
        <v>4582</v>
      </c>
      <c r="E25" s="24">
        <v>42417</v>
      </c>
      <c r="F25" t="s">
        <v>1197</v>
      </c>
    </row>
    <row r="26" spans="1:6" x14ac:dyDescent="0.25">
      <c r="A26" s="16">
        <v>25</v>
      </c>
      <c r="B26" t="s">
        <v>1432</v>
      </c>
      <c r="C26" t="s">
        <v>1435</v>
      </c>
      <c r="D26">
        <v>3559</v>
      </c>
      <c r="E26" s="24">
        <v>42417</v>
      </c>
      <c r="F26" t="s">
        <v>1198</v>
      </c>
    </row>
    <row r="27" spans="1:6" x14ac:dyDescent="0.25">
      <c r="A27" s="16">
        <v>26</v>
      </c>
      <c r="B27" t="s">
        <v>1429</v>
      </c>
      <c r="C27" t="s">
        <v>1435</v>
      </c>
      <c r="D27">
        <v>5154</v>
      </c>
      <c r="E27" s="24">
        <v>42417</v>
      </c>
      <c r="F27" t="s">
        <v>1200</v>
      </c>
    </row>
    <row r="28" spans="1:6" x14ac:dyDescent="0.25">
      <c r="A28">
        <v>27</v>
      </c>
      <c r="B28" t="s">
        <v>1440</v>
      </c>
      <c r="C28" t="s">
        <v>1436</v>
      </c>
      <c r="D28">
        <v>7388</v>
      </c>
      <c r="E28" s="24">
        <v>42418</v>
      </c>
      <c r="F28" t="s">
        <v>1439</v>
      </c>
    </row>
    <row r="29" spans="1:6" x14ac:dyDescent="0.25">
      <c r="A29">
        <v>28</v>
      </c>
      <c r="B29" t="s">
        <v>1432</v>
      </c>
      <c r="C29" t="s">
        <v>1435</v>
      </c>
      <c r="D29">
        <v>7163</v>
      </c>
      <c r="E29" s="24">
        <v>42418</v>
      </c>
      <c r="F29" t="s">
        <v>1197</v>
      </c>
    </row>
    <row r="30" spans="1:6" x14ac:dyDescent="0.25">
      <c r="A30">
        <v>29</v>
      </c>
      <c r="B30" t="s">
        <v>1432</v>
      </c>
      <c r="C30" t="s">
        <v>1435</v>
      </c>
      <c r="D30">
        <v>5101</v>
      </c>
      <c r="E30" s="24">
        <v>42420</v>
      </c>
      <c r="F30" t="s">
        <v>1437</v>
      </c>
    </row>
    <row r="31" spans="1:6" x14ac:dyDescent="0.25">
      <c r="A31">
        <v>30</v>
      </c>
      <c r="B31" t="s">
        <v>1434</v>
      </c>
      <c r="C31" t="s">
        <v>1436</v>
      </c>
      <c r="D31">
        <v>7602</v>
      </c>
      <c r="E31" s="24">
        <v>42421</v>
      </c>
      <c r="F31" t="s">
        <v>1439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97</vt:i4>
      </vt:variant>
    </vt:vector>
  </HeadingPairs>
  <TitlesOfParts>
    <vt:vector size="97" baseType="lpstr">
      <vt:lpstr>Sheet1</vt:lpstr>
      <vt:lpstr>Identifying the least revenue</vt:lpstr>
      <vt:lpstr>Urban Company</vt:lpstr>
      <vt:lpstr>Meta Ad Revenue Analysis</vt:lpstr>
      <vt:lpstr>Subscription Billing Time</vt:lpstr>
      <vt:lpstr>Converting Sales Data</vt:lpstr>
      <vt:lpstr>Vehicle Price Analysis</vt:lpstr>
      <vt:lpstr>Customer Support Tickets</vt:lpstr>
      <vt:lpstr>Calculating Revenue Loss</vt:lpstr>
      <vt:lpstr>Analysis of Ad Campaign</vt:lpstr>
      <vt:lpstr>Tracking In-App Purchases</vt:lpstr>
      <vt:lpstr>Analyzing Customer Purchase (Zo</vt:lpstr>
      <vt:lpstr>Maximizing Ad Revenue (Google)</vt:lpstr>
      <vt:lpstr>Randomly Assigning Discount </vt:lpstr>
      <vt:lpstr>Identifying Income Batch Codes</vt:lpstr>
      <vt:lpstr>Analyzing Client Investment</vt:lpstr>
      <vt:lpstr>Email Normalization </vt:lpstr>
      <vt:lpstr>Loan Disbursement Analysis</vt:lpstr>
      <vt:lpstr>Branch Allocation</vt:lpstr>
      <vt:lpstr>Analyzing Monthly Sales</vt:lpstr>
      <vt:lpstr>Assessing Sales and Advertising</vt:lpstr>
      <vt:lpstr>Analyzing Median Delivery Time </vt:lpstr>
      <vt:lpstr>Calculating Total Cost and Disc</vt:lpstr>
      <vt:lpstr>Analyzing Student Performance </vt:lpstr>
      <vt:lpstr>Tracking Monthly Revenue</vt:lpstr>
      <vt:lpstr>Tracking Delivery Times</vt:lpstr>
      <vt:lpstr>Encoding Course Categories</vt:lpstr>
      <vt:lpstr>Calculating Total Revenue </vt:lpstr>
      <vt:lpstr>Rounding Down Monthly</vt:lpstr>
      <vt:lpstr>Analyzing Volunteer Engagement</vt:lpstr>
      <vt:lpstr>Vehicle Age Classification</vt:lpstr>
      <vt:lpstr>Advanced Inventory Analysis</vt:lpstr>
      <vt:lpstr>Lead Conversion Calculator</vt:lpstr>
      <vt:lpstr>Average Mango Prices</vt:lpstr>
      <vt:lpstr>Analyzing Customer Support Tkt</vt:lpstr>
      <vt:lpstr>Customer Loan Details Analysis</vt:lpstr>
      <vt:lpstr>Targeting Mobile App Users</vt:lpstr>
      <vt:lpstr>Standardizing Seller</vt:lpstr>
      <vt:lpstr>Optimizing Delivery Capacity </vt:lpstr>
      <vt:lpstr>Analyzing Ad Engagement</vt:lpstr>
      <vt:lpstr>Matching Customer Engagement</vt:lpstr>
      <vt:lpstr>Analyzing Cricket Contest Data</vt:lpstr>
      <vt:lpstr>Daily Cash Deposit Analysis</vt:lpstr>
      <vt:lpstr>Ranking Car Models</vt:lpstr>
      <vt:lpstr>Booking Analysis for Oberoi</vt:lpstr>
      <vt:lpstr>Extracting Last Digits of VRN</vt:lpstr>
      <vt:lpstr>Managing API Deployment</vt:lpstr>
      <vt:lpstr>Managing Loan Repayment Dates</vt:lpstr>
      <vt:lpstr>Formatting Customer Names </vt:lpstr>
      <vt:lpstr>Analyzing Property Listing Ages</vt:lpstr>
      <vt:lpstr>Advanced Portfolio Analysis</vt:lpstr>
      <vt:lpstr>Calculating Tiered Discounts</vt:lpstr>
      <vt:lpstr>Analyzing the Relationship</vt:lpstr>
      <vt:lpstr>Analyzing Customer Satisfaction</vt:lpstr>
      <vt:lpstr>Analyzing Daily Transaction</vt:lpstr>
      <vt:lpstr>Retrieving Product Information</vt:lpstr>
      <vt:lpstr>Extracting Movie Genres</vt:lpstr>
      <vt:lpstr>Server Performance Variance </vt:lpstr>
      <vt:lpstr>Average Transaction Value</vt:lpstr>
      <vt:lpstr>Discount Offer Management</vt:lpstr>
      <vt:lpstr>Hourly Flight Booking Analysis</vt:lpstr>
      <vt:lpstr>Identifying Invalid Transaction</vt:lpstr>
      <vt:lpstr>Identifying the Minimum Order V</vt:lpstr>
      <vt:lpstr>Updating Travel Package Codes</vt:lpstr>
      <vt:lpstr>Analyzing Customer Eligibility </vt:lpstr>
      <vt:lpstr>Extract Code and Description</vt:lpstr>
      <vt:lpstr>Analyzing Product Sales and Inv</vt:lpstr>
      <vt:lpstr>Inventory and Sales Analysis</vt:lpstr>
      <vt:lpstr>Analyzing Most Common Product</vt:lpstr>
      <vt:lpstr>Analyzing Sales Data</vt:lpstr>
      <vt:lpstr>Identifying the Lowest Revenue</vt:lpstr>
      <vt:lpstr>Analyzing Student Performance</vt:lpstr>
      <vt:lpstr>Analyzing Customer Reviews</vt:lpstr>
      <vt:lpstr>Analyzing Course Performance</vt:lpstr>
      <vt:lpstr>Cleaning Customer Data</vt:lpstr>
      <vt:lpstr>Analyzing Investment Portfolio </vt:lpstr>
      <vt:lpstr>API Response Time Analysis</vt:lpstr>
      <vt:lpstr>Optimizing Electric Vehicle</vt:lpstr>
      <vt:lpstr>Advanced Sales Performance </vt:lpstr>
      <vt:lpstr>Methods for Splitting Cell Valu</vt:lpstr>
      <vt:lpstr>Methods for Splitting Cell (1)</vt:lpstr>
      <vt:lpstr>Using Basic Logical Functions</vt:lpstr>
      <vt:lpstr> Convert Dates Stored as Text</vt:lpstr>
      <vt:lpstr>Logical</vt:lpstr>
      <vt:lpstr>NPV</vt:lpstr>
      <vt:lpstr>Lookup Function</vt:lpstr>
      <vt:lpstr>XOR</vt:lpstr>
      <vt:lpstr>Arithmetic plus Logic</vt:lpstr>
      <vt:lpstr>Salary Sheet</vt:lpstr>
      <vt:lpstr>Sales Report</vt:lpstr>
      <vt:lpstr>Sheet2</vt:lpstr>
      <vt:lpstr>Conditional Formatting</vt:lpstr>
      <vt:lpstr>V Lookup</vt:lpstr>
      <vt:lpstr>Excel Practise</vt:lpstr>
      <vt:lpstr>Vlookup Table</vt:lpstr>
      <vt:lpstr>Solution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2026-02-27T05:36:53Z</dcterms:created>
  <dcterms:modified xsi:type="dcterms:W3CDTF">2026-03-28T11:42:47Z</dcterms:modified>
</cp:coreProperties>
</file>